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icha\Desktop\robota\"/>
    </mc:Choice>
  </mc:AlternateContent>
  <xr:revisionPtr revIDLastSave="0" documentId="8_{A54B1344-9A21-436D-93AF-F29E812E0BB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reść zadania" sheetId="2" r:id="rId1"/>
    <sheet name="Dane do zadania" sheetId="1" r:id="rId2"/>
    <sheet name="Parametry" sheetId="3" r:id="rId3"/>
    <sheet name="Obliczenia" sheetId="4" r:id="rId4"/>
    <sheet name="Dashboard" sheetId="5" r:id="rId5"/>
  </sheets>
  <definedNames>
    <definedName name="Fragmentator_Miesiąc">#N/A</definedName>
  </definedNames>
  <calcPr calcId="191028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" i="5" l="1" a="1"/>
  <c r="AL3" i="5" s="1"/>
  <c r="AL5" i="5"/>
  <c r="AL4" i="5"/>
  <c r="AL2" i="5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I4" i="4"/>
  <c r="I3" i="4"/>
  <c r="I2" i="4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<sst xmlns="http://schemas.openxmlformats.org/spreadsheetml/2006/main" count="411" uniqueCount="221">
  <si>
    <t>Data</t>
  </si>
  <si>
    <t>Kanał</t>
  </si>
  <si>
    <t>Połączenia przychodzące</t>
  </si>
  <si>
    <t>Połączenia odebrane</t>
  </si>
  <si>
    <t>Połączenia porzucone</t>
  </si>
  <si>
    <t>Średni czas oczekiwania (AWT) [sek]</t>
  </si>
  <si>
    <t>FCR</t>
  </si>
  <si>
    <t>Infolinia przychodząca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</si>
  <si>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</si>
  <si>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</si>
  <si>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</si>
  <si>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</si>
  <si>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</si>
  <si>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</si>
  <si>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</si>
  <si>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</si>
  <si>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</si>
  <si>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</si>
  <si>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</si>
  <si>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</si>
  <si>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</si>
  <si>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</si>
  <si>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</si>
  <si>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</si>
  <si>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</si>
  <si>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</si>
  <si>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</si>
  <si>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</si>
  <si>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</si>
  <si>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</si>
  <si>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</si>
  <si>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</si>
  <si>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</si>
  <si>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</si>
  <si>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</si>
  <si>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</si>
  <si>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</si>
  <si>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</si>
  <si>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</si>
  <si>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</si>
  <si>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</si>
  <si>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</si>
  <si>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</si>
  <si>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</si>
  <si>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</si>
  <si>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</si>
  <si>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</si>
  <si>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</si>
  <si>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</si>
  <si>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</si>
  <si>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</si>
  <si>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</si>
  <si>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</si>
  <si>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</si>
  <si>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</si>
  <si>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</si>
  <si>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</si>
  <si>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</si>
  <si>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</si>
  <si>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</si>
  <si>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</si>
  <si>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</si>
  <si>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</si>
  <si>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</si>
  <si>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</si>
  <si>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</si>
  <si>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</si>
  <si>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</si>
  <si>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</si>
  <si>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</si>
  <si>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</si>
  <si>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</si>
  <si>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</si>
  <si>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</si>
  <si>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</si>
  <si>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</si>
  <si>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</si>
  <si>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</si>
  <si>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</si>
  <si>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</si>
  <si>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</si>
  <si>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</si>
  <si>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</si>
  <si>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</si>
  <si>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</si>
  <si>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</si>
  <si>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</si>
  <si>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</si>
  <si>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</si>
  <si>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</si>
  <si>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</si>
  <si>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</si>
  <si>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</si>
  <si>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</si>
  <si>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</si>
  <si>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</si>
  <si>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</si>
  <si>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</si>
  <si>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</si>
  <si>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</si>
  <si>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</si>
  <si>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</si>
  <si>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</si>
  <si>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</si>
  <si>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</si>
  <si>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</si>
  <si>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</si>
  <si>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</si>
  <si>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</si>
  <si>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</si>
  <si>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</si>
  <si>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</si>
  <si>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</si>
  <si>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</si>
  <si>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</si>
  <si>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</si>
  <si>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</si>
  <si>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</si>
  <si>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</si>
  <si>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</si>
  <si>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</si>
  <si>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</si>
  <si>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</si>
  <si>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</si>
  <si>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</si>
  <si>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</si>
  <si>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</si>
  <si>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</si>
  <si>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</si>
  <si>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</si>
  <si>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</si>
  <si>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</si>
  <si>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</si>
  <si>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</si>
  <si>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</si>
  <si>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</si>
  <si>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</si>
  <si>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</si>
  <si>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</si>
  <si>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</si>
  <si>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</si>
  <si>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</si>
  <si>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</si>
  <si>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</si>
  <si>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</si>
  <si>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Zadanie rekrutacyjne – analiza danych Contact Center</t>
  </si>
  <si>
    <t>Wprowadzenie</t>
  </si>
  <si>
    <t>W załączonym pliku Excel znajdują się przykładowe dane operacyjne Contact Center (infolinia przychodząca). Dane obejmują wolumen połączeń oraz wybrane wskaźniki jakościowe i efektywnościowe.</t>
  </si>
  <si>
    <r>
      <t xml:space="preserve">Na potrzeby zadania przyjmujemy następujące </t>
    </r>
    <r>
      <rPr>
        <b/>
        <sz val="11"/>
        <color theme="1"/>
        <rFont val="Segoe UI"/>
        <family val="2"/>
        <charset val="238"/>
      </rPr>
      <t>cele operacyjne</t>
    </r>
    <r>
      <rPr>
        <sz val="11"/>
        <color theme="1"/>
        <rFont val="Segoe UI"/>
        <family val="2"/>
        <charset val="238"/>
      </rPr>
      <t>:</t>
    </r>
  </si>
  <si>
    <t>FCR (First Contact Resolution): 85%</t>
  </si>
  <si>
    <t>SL / SLA (Service Level): 80%</t>
  </si>
  <si>
    <t>Dane mają charakter poglądowy i służą wyłącznie do oceny sposobu analizy oraz wyciągania wniosków.</t>
  </si>
  <si>
    <t>Cel zadania</t>
  </si>
  <si>
    <t>Celem zadania jest:</t>
  </si>
  <si>
    <t>analiza trendów operacyjnych,</t>
  </si>
  <si>
    <t>umiejętność wizualizacji danych,</t>
  </si>
  <si>
    <t>wyciąganie wniosków i formułowanie prostych rekomendacji biznesowych.</t>
  </si>
  <si>
    <t>Zakres zadania</t>
  </si>
  <si>
    <t>Na podstawie danych z pliku prosimy o:</t>
  </si>
  <si>
    <r>
      <t>1. Przygotowanie wizualizacji danych w podziale na dni tygodnia</t>
    </r>
    <r>
      <rPr>
        <sz val="11"/>
        <color theme="1"/>
        <rFont val="Segoe UI"/>
        <family val="2"/>
        <charset val="238"/>
      </rPr>
      <t>, pokazujących:</t>
    </r>
  </si>
  <si>
    <t>wolumen połączeń,</t>
  </si>
  <si>
    <r>
      <t>średni czas obsługi (</t>
    </r>
    <r>
      <rPr>
        <b/>
        <sz val="11"/>
        <color theme="1"/>
        <rFont val="Segoe UI"/>
        <family val="2"/>
        <charset val="238"/>
      </rPr>
      <t>AHT</t>
    </r>
    <r>
      <rPr>
        <sz val="11"/>
        <color theme="1"/>
        <rFont val="Segoe UI"/>
        <family val="2"/>
        <charset val="238"/>
      </rPr>
      <t>),</t>
    </r>
  </si>
  <si>
    <r>
      <t xml:space="preserve">realizację celu </t>
    </r>
    <r>
      <rPr>
        <b/>
        <sz val="11"/>
        <color theme="1"/>
        <rFont val="Segoe UI"/>
        <family val="2"/>
        <charset val="238"/>
      </rPr>
      <t>FCR (85%)</t>
    </r>
    <r>
      <rPr>
        <sz val="11"/>
        <color theme="1"/>
        <rFont val="Segoe UI"/>
        <family val="2"/>
        <charset val="238"/>
      </rPr>
      <t>,</t>
    </r>
  </si>
  <si>
    <r>
      <t xml:space="preserve">realizację celu </t>
    </r>
    <r>
      <rPr>
        <b/>
        <sz val="11"/>
        <color theme="1"/>
        <rFont val="Segoe UI"/>
        <family val="2"/>
        <charset val="238"/>
      </rPr>
      <t>SL/SLA (80%)</t>
    </r>
    <r>
      <rPr>
        <sz val="11"/>
        <color theme="1"/>
        <rFont val="Segoe UI"/>
        <family val="2"/>
        <charset val="238"/>
      </rPr>
      <t>.</t>
    </r>
  </si>
  <si>
    <r>
      <t>2. Analizę trendów</t>
    </r>
    <r>
      <rPr>
        <sz val="11"/>
        <color theme="1"/>
        <rFont val="Segoe UI"/>
        <family val="2"/>
        <charset val="238"/>
      </rPr>
      <t xml:space="preserve"> – w szczególności:</t>
    </r>
  </si>
  <si>
    <t>różnice pomiędzy dniami tygodnia,</t>
  </si>
  <si>
    <t>zależności pomiędzy wolumenem, AHT oraz realizacją celów jakościowych.</t>
  </si>
  <si>
    <r>
      <t>3. Sformułowanie kilku wniosków (2–4)</t>
    </r>
    <r>
      <rPr>
        <sz val="11"/>
        <color theme="1"/>
        <rFont val="Segoe UI"/>
        <family val="2"/>
        <charset val="238"/>
      </rPr>
      <t xml:space="preserve"> wynikających z danych.</t>
    </r>
  </si>
  <si>
    <r>
      <t>4. Przygotowanie krótkich rekomendacji</t>
    </r>
    <r>
      <rPr>
        <sz val="11"/>
        <color theme="1"/>
        <rFont val="Segoe UI"/>
        <family val="2"/>
        <charset val="238"/>
      </rPr>
      <t>:</t>
    </r>
  </si>
  <si>
    <t>co warto sprawdzić dalej,</t>
  </si>
  <si>
    <t>jakie działania mogłyby poprawić realizację celów.</t>
  </si>
  <si>
    <t>Forma wykonania</t>
  </si>
  <si>
    <r>
      <t xml:space="preserve">Zadanie </t>
    </r>
    <r>
      <rPr>
        <b/>
        <sz val="11"/>
        <color theme="1"/>
        <rFont val="Segoe UI"/>
        <family val="2"/>
        <charset val="238"/>
      </rPr>
      <t>musi być wykonane w pliku Excel</t>
    </r>
    <r>
      <rPr>
        <sz val="11"/>
        <color theme="1"/>
        <rFont val="Segoe UI"/>
        <family val="2"/>
        <charset val="238"/>
      </rPr>
      <t xml:space="preserve"> (formuły, tabele, wykresy).</t>
    </r>
  </si>
  <si>
    <t>Forma wizualizacji dowolna (wykresy, tabele przestawne itp.).</t>
  </si>
  <si>
    <t>Wnioski i rekomendacje mogą być:</t>
  </si>
  <si>
    <t>opisane w osobnym arkuszu,</t>
  </si>
  <si>
    <t>albo bezpośrednio pod wykresami.</t>
  </si>
  <si>
    <t>Informacje organizacyjne</t>
  </si>
  <si>
    <r>
      <t xml:space="preserve">Szacowany czas wykonania: </t>
    </r>
    <r>
      <rPr>
        <b/>
        <sz val="11"/>
        <color theme="1"/>
        <rFont val="Segoe UI"/>
        <family val="2"/>
        <charset val="238"/>
      </rPr>
      <t>60–90 minut</t>
    </r>
    <r>
      <rPr>
        <sz val="11"/>
        <color theme="1"/>
        <rFont val="Segoe UI"/>
        <family val="2"/>
        <charset val="238"/>
      </rPr>
      <t>.</t>
    </r>
  </si>
  <si>
    <t>Nie oczekujemy „idealnych” wyników — liczy się:</t>
  </si>
  <si>
    <t>sposób myślenia,</t>
  </si>
  <si>
    <t>logika analizy,</t>
  </si>
  <si>
    <t>czytelność wniosków.</t>
  </si>
  <si>
    <t>Powodzenia</t>
  </si>
  <si>
    <t>Cel FCR</t>
  </si>
  <si>
    <t>Cel SLA</t>
  </si>
  <si>
    <t>Nr dnia tygodnia</t>
  </si>
  <si>
    <t>Dzień tygodnia</t>
  </si>
  <si>
    <t>Miesiąc</t>
  </si>
  <si>
    <t>Etykiety wierszy</t>
  </si>
  <si>
    <t>Suma końcowa</t>
  </si>
  <si>
    <t>poniedziałek</t>
  </si>
  <si>
    <t>wtorek</t>
  </si>
  <si>
    <t>środa</t>
  </si>
  <si>
    <t>czwartek</t>
  </si>
  <si>
    <t>piątek</t>
  </si>
  <si>
    <t>sobota</t>
  </si>
  <si>
    <t>niedziela</t>
  </si>
  <si>
    <t>Średnia z Połączenia przychodzące</t>
  </si>
  <si>
    <t>Średnia z FCR</t>
  </si>
  <si>
    <t>Wolumen</t>
  </si>
  <si>
    <t>SLA</t>
  </si>
  <si>
    <t>Zależność Wolumen vs SLA</t>
  </si>
  <si>
    <t>Zależność AHT vs SLA</t>
  </si>
  <si>
    <t>Zależność Wolumen vs AHT</t>
  </si>
  <si>
    <t>Czas obsługi</t>
  </si>
  <si>
    <t>Średnia z SLA</t>
  </si>
  <si>
    <t>Etykiety kolumn</t>
  </si>
  <si>
    <t>styczeń</t>
  </si>
  <si>
    <t>luty</t>
  </si>
  <si>
    <t>marzec</t>
  </si>
  <si>
    <t>kwiecień</t>
  </si>
  <si>
    <t>maj</t>
  </si>
  <si>
    <t>Indeks intensywności ruchu</t>
  </si>
  <si>
    <t>Workload</t>
  </si>
  <si>
    <t>Suma godzin pracy</t>
  </si>
  <si>
    <t>Cel_FCR</t>
  </si>
  <si>
    <t>Cel_SLA</t>
  </si>
  <si>
    <t>Średnia z Czasu obsługi</t>
  </si>
  <si>
    <t>Heatmapa ilości połączeń przychodzących</t>
  </si>
  <si>
    <t>Zależność Wolumen vs SLA (bez weekendów)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</si>
</sst>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"/>
    <numFmt numFmtId="165" formatCode="0.0%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1"/>
      <name val="Segoe UI"/>
      <family val="2"/>
      <charset val="238"/>
    </font>
    <font>
      <b/>
      <sz val="18"/>
      <color theme="1"/>
      <name val="Segoe UI"/>
      <family val="2"/>
      <charset val="238"/>
    </font>
    <font>
      <b/>
      <sz val="13.5"/>
      <color theme="1"/>
      <name val="Segoe UI"/>
      <family val="2"/>
      <charset val="238"/>
    </font>
    <font>
      <b/>
      <sz val="11"/>
      <color theme="1"/>
      <name val="Segoe UI"/>
      <family val="2"/>
      <charset val="238"/>
    </font>
    <font>
      <b/>
      <sz val="18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EBEBEB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43">
    <xf numFmtId="0" fontId="0" fillId="0" borderId="0" xfId="0"/>
    <xf numFmtId="0" fontId="2" fillId="0" borderId="0" xfId="0" applyFont="1"/>
    <xf numFmtId="164" fontId="2" fillId="2" borderId="1" xfId="0" applyNumberFormat="1" applyFont="1" applyFill="1" applyBorder="1" applyAlignment="1">
      <alignment horizontal="right" vertical="top"/>
    </xf>
    <xf numFmtId="10" fontId="2" fillId="2" borderId="1" xfId="0" applyNumberFormat="1" applyFont="1" applyFill="1" applyBorder="1" applyAlignment="1">
      <alignment horizontal="right" vertical="top"/>
    </xf>
    <xf numFmtId="0" fontId="1" fillId="0" borderId="0" xfId="0" applyFont="1" applyAlignment="1">
      <alignment horizontal="center" vertical="top"/>
    </xf>
    <xf numFmtId="0" fontId="2" fillId="2" borderId="0" xfId="0" applyFont="1" applyFill="1" applyAlignment="1">
      <alignment horizontal="left" vertical="top" wrapText="1"/>
    </xf>
    <xf numFmtId="164" fontId="2" fillId="2" borderId="0" xfId="0" applyNumberFormat="1" applyFont="1" applyFill="1" applyAlignment="1">
      <alignment horizontal="right" vertical="top"/>
    </xf>
    <xf numFmtId="164" fontId="2" fillId="0" borderId="0" xfId="0" applyNumberFormat="1" applyFont="1"/>
    <xf numFmtId="10" fontId="2" fillId="2" borderId="0" xfId="0" applyNumberFormat="1" applyFont="1" applyFill="1" applyAlignment="1">
      <alignment horizontal="right" vertical="top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2"/>
    </xf>
    <xf numFmtId="0" fontId="7" fillId="0" borderId="0" xfId="0" applyFont="1"/>
    <xf numFmtId="9" fontId="0" fillId="0" borderId="0" xfId="0" applyNumberFormat="1"/>
    <xf numFmtId="0" fontId="2" fillId="4" borderId="0" xfId="0" applyFont="1" applyFill="1" applyAlignment="1">
      <alignment horizontal="right" vertical="top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0" fontId="0" fillId="0" borderId="0" xfId="0" applyNumberFormat="1"/>
    <xf numFmtId="9" fontId="2" fillId="0" borderId="0" xfId="1" applyFont="1"/>
    <xf numFmtId="9" fontId="0" fillId="0" borderId="0" xfId="1" applyFont="1"/>
    <xf numFmtId="165" fontId="1" fillId="0" borderId="0" xfId="1" applyNumberFormat="1" applyFont="1" applyAlignment="1">
      <alignment horizontal="center" vertical="top"/>
    </xf>
    <xf numFmtId="2" fontId="0" fillId="0" borderId="0" xfId="0" applyNumberFormat="1"/>
    <xf numFmtId="9" fontId="2" fillId="4" borderId="0" xfId="0" applyNumberFormat="1" applyFont="1" applyFill="1" applyAlignment="1">
      <alignment horizontal="right" vertical="top"/>
    </xf>
    <xf numFmtId="0" fontId="0" fillId="0" borderId="5" xfId="0" applyBorder="1"/>
    <xf numFmtId="0" fontId="9" fillId="3" borderId="6" xfId="0" applyFont="1" applyFill="1" applyBorder="1"/>
    <xf numFmtId="0" fontId="9" fillId="3" borderId="7" xfId="0" applyFont="1" applyFill="1" applyBorder="1"/>
    <xf numFmtId="0" fontId="9" fillId="3" borderId="8" xfId="0" applyFont="1" applyFill="1" applyBorder="1"/>
    <xf numFmtId="0" fontId="0" fillId="0" borderId="9" xfId="0" applyBorder="1"/>
    <xf numFmtId="0" fontId="9" fillId="3" borderId="10" xfId="0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Normalny" xfId="0" builtinId="0"/>
    <cellStyle name="Procentowy" xfId="1" builtinId="5"/>
  </cellStyles>
  <dxfs count="21">
    <dxf>
      <numFmt numFmtId="2" formatCode="0.00"/>
    </dxf>
    <dxf>
      <numFmt numFmtId="14" formatCode="0.00%"/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fill>
        <patternFill patternType="solid">
          <fgColor indexed="64"/>
          <bgColor rgb="FFFFFFFF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3" formatCode="0%"/>
      <fill>
        <patternFill patternType="solid">
          <fgColor indexed="64"/>
          <bgColor rgb="FFFFFFFF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3" formatCode="0%"/>
      <fill>
        <patternFill patternType="solid">
          <fgColor indexed="64"/>
          <bgColor rgb="FFFFFFFF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fill>
        <patternFill patternType="solid">
          <fgColor indexed="64"/>
          <bgColor rgb="FFFFFFFF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fill>
        <patternFill patternType="solid">
          <fgColor indexed="64"/>
          <bgColor rgb="FFFFFFFF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0" formatCode="General"/>
      <fill>
        <patternFill patternType="solid">
          <fgColor indexed="64"/>
          <bgColor rgb="FFFFFFFF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64" formatCode="#,##0_);\(#,##0\)"/>
      <fill>
        <patternFill patternType="solid">
          <fgColor indexed="64"/>
          <bgColor rgb="FFFFFFFF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64" formatCode="#,##0_);\(#,##0\)"/>
      <fill>
        <patternFill patternType="solid">
          <fgColor indexed="64"/>
          <bgColor rgb="FFFFFFFF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64" formatCode="#,##0_);\(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64" formatCode="#,##0_);\(#,##0\)"/>
      <fill>
        <patternFill patternType="solid">
          <fgColor indexed="64"/>
          <bgColor rgb="FFFFFFFF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numFmt numFmtId="164" formatCode="#,##0_);\(#,##0\)"/>
      <fill>
        <patternFill patternType="solid">
          <fgColor indexed="64"/>
          <bgColor rgb="FFFFFFFF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fill>
        <patternFill patternType="solid">
          <fgColor indexed="64"/>
          <bgColor rgb="FFFFFFFF"/>
        </patternFill>
      </fill>
      <alignment horizontal="righ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38"/>
        <scheme val="minor"/>
      </font>
      <alignment horizontal="center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[Contact_Center_Analysis.xlsx]Obliczenia!Realizacja celów jakościowych (SLA i FCR)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Realizacja celów jakościowych (SLA i FCR)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Obliczenia!$B$1</c:f>
              <c:strCache>
                <c:ptCount val="1"/>
                <c:pt idx="0">
                  <c:v>Średnia z FCR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Obliczenia!$A$2:$A$9</c:f>
              <c:strCache>
                <c:ptCount val="7"/>
                <c:pt idx="0">
                  <c:v>poniedziałek</c:v>
                </c:pt>
                <c:pt idx="1">
                  <c:v>wtorek</c:v>
                </c:pt>
                <c:pt idx="2">
                  <c:v>środa</c:v>
                </c:pt>
                <c:pt idx="3">
                  <c:v>czwartek</c:v>
                </c:pt>
                <c:pt idx="4">
                  <c:v>piątek</c:v>
                </c:pt>
                <c:pt idx="5">
                  <c:v>sobota</c:v>
                </c:pt>
                <c:pt idx="6">
                  <c:v>niedziela</c:v>
                </c:pt>
              </c:strCache>
            </c:strRef>
          </c:cat>
          <c:val>
            <c:numRef>
              <c:f>Obliczenia!$B$2:$B$9</c:f>
              <c:numCache>
                <c:formatCode>0.00%</c:formatCode>
                <c:ptCount val="7"/>
                <c:pt idx="0">
                  <c:v>0.84526315789473683</c:v>
                </c:pt>
                <c:pt idx="1">
                  <c:v>0.84789473684210526</c:v>
                </c:pt>
                <c:pt idx="2">
                  <c:v>0.85157894736842121</c:v>
                </c:pt>
                <c:pt idx="3">
                  <c:v>0.8500000000000002</c:v>
                </c:pt>
                <c:pt idx="4">
                  <c:v>0.85800000000000021</c:v>
                </c:pt>
                <c:pt idx="5">
                  <c:v>0.84809523809523824</c:v>
                </c:pt>
                <c:pt idx="6">
                  <c:v>0.85300000000000009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35-4F66-B3CA-2B074329126F}"/>
            </c:ext>
          </c:extLst>
        </c:ser>
        <c:ser>
          <c:idx val="1"/>
          <c:order val="1"/>
          <c:tx>
            <c:strRef>
              <c:f>Obliczenia!$C$1</c:f>
              <c:strCache>
                <c:ptCount val="1"/>
                <c:pt idx="0">
                  <c:v>Średnia z SLA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Obliczenia!$A$2:$A$9</c:f>
              <c:strCache>
                <c:ptCount val="7"/>
                <c:pt idx="0">
                  <c:v>poniedziałek</c:v>
                </c:pt>
                <c:pt idx="1">
                  <c:v>wtorek</c:v>
                </c:pt>
                <c:pt idx="2">
                  <c:v>środa</c:v>
                </c:pt>
                <c:pt idx="3">
                  <c:v>czwartek</c:v>
                </c:pt>
                <c:pt idx="4">
                  <c:v>piątek</c:v>
                </c:pt>
                <c:pt idx="5">
                  <c:v>sobota</c:v>
                </c:pt>
                <c:pt idx="6">
                  <c:v>niedziela</c:v>
                </c:pt>
              </c:strCache>
            </c:strRef>
          </c:cat>
          <c:val>
            <c:numRef>
              <c:f>Obliczenia!$C$2:$C$9</c:f>
              <c:numCache>
                <c:formatCode>0.00%</c:formatCode>
                <c:ptCount val="7"/>
                <c:pt idx="0">
                  <c:v>0.7631147437852015</c:v>
                </c:pt>
                <c:pt idx="1">
                  <c:v>0.76973206049044052</c:v>
                </c:pt>
                <c:pt idx="2">
                  <c:v>0.77883093776814993</c:v>
                </c:pt>
                <c:pt idx="3">
                  <c:v>0.77888913031065221</c:v>
                </c:pt>
                <c:pt idx="4">
                  <c:v>0.80044001980619939</c:v>
                </c:pt>
                <c:pt idx="5">
                  <c:v>0.59230722171172534</c:v>
                </c:pt>
                <c:pt idx="6">
                  <c:v>0.63252491611682016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35-4F66-B3CA-2B0743291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2411151"/>
        <c:axId val="1222423631"/>
      </c:barChart>
      <c:lineChart>
        <c:grouping val="standard"/>
        <c:varyColors val="0"/>
        <c:ser>
          <c:idx val="2"/>
          <c:order val="2"/>
          <c:tx>
            <c:strRef>
              <c:f>Obliczenia!$D$1</c:f>
              <c:strCache>
                <c:ptCount val="1"/>
                <c:pt idx="0">
                  <c:v>Cel_FCR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Obliczenia!$A$2:$A$9</c:f>
              <c:strCache>
                <c:ptCount val="7"/>
                <c:pt idx="0">
                  <c:v>poniedziałek</c:v>
                </c:pt>
                <c:pt idx="1">
                  <c:v>wtorek</c:v>
                </c:pt>
                <c:pt idx="2">
                  <c:v>środa</c:v>
                </c:pt>
                <c:pt idx="3">
                  <c:v>czwartek</c:v>
                </c:pt>
                <c:pt idx="4">
                  <c:v>piątek</c:v>
                </c:pt>
                <c:pt idx="5">
                  <c:v>sobota</c:v>
                </c:pt>
                <c:pt idx="6">
                  <c:v>niedziela</c:v>
                </c:pt>
              </c:strCache>
            </c:strRef>
          </c:cat>
          <c:val>
            <c:numRef>
              <c:f>Obliczenia!$D$2:$D$9</c:f>
              <c:numCache>
                <c:formatCode>0%</c:formatCode>
                <c:ptCount val="7"/>
                <c:pt idx="0">
                  <c:v>0.84999999999999976</c:v>
                </c:pt>
                <c:pt idx="1">
                  <c:v>0.84999999999999976</c:v>
                </c:pt>
                <c:pt idx="2">
                  <c:v>0.84999999999999976</c:v>
                </c:pt>
                <c:pt idx="3">
                  <c:v>0.84999999999999987</c:v>
                </c:pt>
                <c:pt idx="4">
                  <c:v>0.84999999999999987</c:v>
                </c:pt>
                <c:pt idx="5">
                  <c:v>0.84999999999999987</c:v>
                </c:pt>
                <c:pt idx="6">
                  <c:v>0.84999999999999987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35-4F66-B3CA-2B074329126F}"/>
            </c:ext>
          </c:extLst>
        </c:ser>
        <c:ser>
          <c:idx val="3"/>
          <c:order val="3"/>
          <c:tx>
            <c:strRef>
              <c:f>Obliczenia!$E$1</c:f>
              <c:strCache>
                <c:ptCount val="1"/>
                <c:pt idx="0">
                  <c:v>Cel_SLA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Obliczenia!$A$2:$A$9</c:f>
              <c:strCache>
                <c:ptCount val="7"/>
                <c:pt idx="0">
                  <c:v>poniedziałek</c:v>
                </c:pt>
                <c:pt idx="1">
                  <c:v>wtorek</c:v>
                </c:pt>
                <c:pt idx="2">
                  <c:v>środa</c:v>
                </c:pt>
                <c:pt idx="3">
                  <c:v>czwartek</c:v>
                </c:pt>
                <c:pt idx="4">
                  <c:v>piątek</c:v>
                </c:pt>
                <c:pt idx="5">
                  <c:v>sobota</c:v>
                </c:pt>
                <c:pt idx="6">
                  <c:v>niedziela</c:v>
                </c:pt>
              </c:strCache>
            </c:strRef>
          </c:cat>
          <c:val>
            <c:numRef>
              <c:f>Obliczenia!$E$2:$E$9</c:f>
              <c:numCache>
                <c:formatCode>0%</c:formatCode>
                <c:ptCount val="7"/>
                <c:pt idx="0">
                  <c:v>0.80000000000000027</c:v>
                </c:pt>
                <c:pt idx="1">
                  <c:v>0.80000000000000027</c:v>
                </c:pt>
                <c:pt idx="2">
                  <c:v>0.80000000000000027</c:v>
                </c:pt>
                <c:pt idx="3">
                  <c:v>0.80000000000000016</c:v>
                </c:pt>
                <c:pt idx="4">
                  <c:v>0.80000000000000016</c:v>
                </c:pt>
                <c:pt idx="5">
                  <c:v>0.80000000000000016</c:v>
                </c:pt>
                <c:pt idx="6">
                  <c:v>0.80000000000000016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35-4F66-B3CA-2B0743291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2411151"/>
        <c:axId val="1222423631"/>
      </c:lineChart>
      <c:catAx>
        <c:axId val="122241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22423631"/>
        <c:crosses val="autoZero"/>
        <c:auto val="1"/>
        <c:lblAlgn val="ctr"/>
        <c:lblOffset val="100"/>
        <c:noMultiLvlLbl val="0"/>
      </c:catAx>
      <c:valAx>
        <c:axId val="122242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22411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[Contact_Center_Analysis.xlsx]Obliczenia!Wolumen vs AHT w dniach tygodnia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Wolumen vs AHT w dniach tygodnia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Obliczenia!$B$12</c:f>
              <c:strCache>
                <c:ptCount val="1"/>
                <c:pt idx="0">
                  <c:v>Wolumen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Obliczenia!$A$13:$A$20</c:f>
              <c:strCache>
                <c:ptCount val="7"/>
                <c:pt idx="0">
                  <c:v>poniedziałek</c:v>
                </c:pt>
                <c:pt idx="1">
                  <c:v>wtorek</c:v>
                </c:pt>
                <c:pt idx="2">
                  <c:v>środa</c:v>
                </c:pt>
                <c:pt idx="3">
                  <c:v>czwartek</c:v>
                </c:pt>
                <c:pt idx="4">
                  <c:v>piątek</c:v>
                </c:pt>
                <c:pt idx="5">
                  <c:v>sobota</c:v>
                </c:pt>
                <c:pt idx="6">
                  <c:v>niedziela</c:v>
                </c:pt>
              </c:strCache>
            </c:strRef>
          </c:cat>
          <c:val>
            <c:numRef>
              <c:f>Obliczenia!$B$13:$B$20</c:f>
              <c:numCache>
                <c:formatCode>0.00</c:formatCode>
                <c:ptCount val="7"/>
                <c:pt idx="0">
                  <c:v>1140.8421052631579</c:v>
                </c:pt>
                <c:pt idx="1">
                  <c:v>1043.6315789473683</c:v>
                </c:pt>
                <c:pt idx="2">
                  <c:v>1125.7894736842106</c:v>
                </c:pt>
                <c:pt idx="3">
                  <c:v>1006.4</c:v>
                </c:pt>
                <c:pt idx="4">
                  <c:v>946</c:v>
                </c:pt>
                <c:pt idx="5">
                  <c:v>169.75</c:v>
                </c:pt>
                <c:pt idx="6">
                  <c:v>126.85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9-4659-B856-23D8C5E5F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0806671"/>
        <c:axId val="1220805711"/>
      </c:barChart>
      <c:lineChart>
        <c:grouping val="standard"/>
        <c:varyColors val="0"/>
        <c:ser>
          <c:idx val="1"/>
          <c:order val="1"/>
          <c:tx>
            <c:strRef>
              <c:f>Obliczenia!$C$12</c:f>
              <c:strCache>
                <c:ptCount val="1"/>
                <c:pt idx="0">
                  <c:v>Średnia z Czasu obsługi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Obliczenia!$A$13:$A$20</c:f>
              <c:strCache>
                <c:ptCount val="7"/>
                <c:pt idx="0">
                  <c:v>poniedziałek</c:v>
                </c:pt>
                <c:pt idx="1">
                  <c:v>wtorek</c:v>
                </c:pt>
                <c:pt idx="2">
                  <c:v>środa</c:v>
                </c:pt>
                <c:pt idx="3">
                  <c:v>czwartek</c:v>
                </c:pt>
                <c:pt idx="4">
                  <c:v>piątek</c:v>
                </c:pt>
                <c:pt idx="5">
                  <c:v>sobota</c:v>
                </c:pt>
                <c:pt idx="6">
                  <c:v>niedziela</c:v>
                </c:pt>
              </c:strCache>
            </c:strRef>
          </c:cat>
          <c:val>
            <c:numRef>
              <c:f>Obliczenia!$C$13:$C$20</c:f>
              <c:numCache>
                <c:formatCode>#\ ##0_);\(#\ ##0\)</c:formatCode>
                <c:ptCount val="7"/>
                <c:pt idx="0">
                  <c:v>531.92731950390919</c:v>
                </c:pt>
                <c:pt idx="1">
                  <c:v>552.40355073853664</c:v>
                </c:pt>
                <c:pt idx="2">
                  <c:v>550.80046547208872</c:v>
                </c:pt>
                <c:pt idx="3">
                  <c:v>551.72080711025967</c:v>
                </c:pt>
                <c:pt idx="4">
                  <c:v>546.52315471286852</c:v>
                </c:pt>
                <c:pt idx="5">
                  <c:v>520.97100131842876</c:v>
                </c:pt>
                <c:pt idx="6">
                  <c:v>456.26676454085253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C9-4659-B856-23D8C5E5F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9344367"/>
        <c:axId val="1219345807"/>
      </c:lineChart>
      <c:catAx>
        <c:axId val="122080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20805711"/>
        <c:crosses val="autoZero"/>
        <c:auto val="1"/>
        <c:lblAlgn val="ctr"/>
        <c:lblOffset val="100"/>
        <c:noMultiLvlLbl val="0"/>
      </c:catAx>
      <c:valAx>
        <c:axId val="122080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20806671"/>
        <c:crosses val="autoZero"/>
        <c:crossBetween val="between"/>
      </c:valAx>
      <c:valAx>
        <c:axId val="1219345807"/>
        <c:scaling>
          <c:orientation val="minMax"/>
        </c:scaling>
        <c:delete val="0"/>
        <c:axPos val="r"/>
        <c:numFmt formatCode="#\ ##0_);\(#\ 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19344367"/>
        <c:crosses val="max"/>
        <c:crossBetween val="between"/>
      </c:valAx>
      <c:catAx>
        <c:axId val="12193443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193458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[Contact_Center_Analysis.xlsx]Obliczenia!Tabela przestawna6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Liczba godzin połączeń vs SLA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Obliczenia!$B$43</c:f>
              <c:strCache>
                <c:ptCount val="1"/>
                <c:pt idx="0">
                  <c:v>Suma godzin pracy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Obliczenia!$A$44:$A$51</c:f>
              <c:strCache>
                <c:ptCount val="7"/>
                <c:pt idx="0">
                  <c:v>poniedziałek</c:v>
                </c:pt>
                <c:pt idx="1">
                  <c:v>wtorek</c:v>
                </c:pt>
                <c:pt idx="2">
                  <c:v>środa</c:v>
                </c:pt>
                <c:pt idx="3">
                  <c:v>czwartek</c:v>
                </c:pt>
                <c:pt idx="4">
                  <c:v>piątek</c:v>
                </c:pt>
                <c:pt idx="5">
                  <c:v>sobota</c:v>
                </c:pt>
                <c:pt idx="6">
                  <c:v>niedziela</c:v>
                </c:pt>
              </c:strCache>
            </c:strRef>
          </c:cat>
          <c:val>
            <c:numRef>
              <c:f>Obliczenia!$B$44:$B$51</c:f>
              <c:numCache>
                <c:formatCode>0.00</c:formatCode>
                <c:ptCount val="7"/>
                <c:pt idx="0">
                  <c:v>3253.6713639077543</c:v>
                </c:pt>
                <c:pt idx="1">
                  <c:v>3068.1713030366182</c:v>
                </c:pt>
                <c:pt idx="2">
                  <c:v>3273.8893025688644</c:v>
                </c:pt>
                <c:pt idx="3">
                  <c:v>3092.3056807140756</c:v>
                </c:pt>
                <c:pt idx="4">
                  <c:v>2899.647309019595</c:v>
                </c:pt>
                <c:pt idx="5">
                  <c:v>499.59945765139025</c:v>
                </c:pt>
                <c:pt idx="6">
                  <c:v>330.45047673375126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C-4452-957B-AA3B60E44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24709359"/>
        <c:axId val="1224703599"/>
      </c:barChart>
      <c:lineChart>
        <c:grouping val="standard"/>
        <c:varyColors val="0"/>
        <c:ser>
          <c:idx val="1"/>
          <c:order val="1"/>
          <c:tx>
            <c:strRef>
              <c:f>Obliczenia!$C$43</c:f>
              <c:strCache>
                <c:ptCount val="1"/>
                <c:pt idx="0">
                  <c:v>Średnia z SLA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Obliczenia!$A$44:$A$51</c:f>
              <c:strCache>
                <c:ptCount val="7"/>
                <c:pt idx="0">
                  <c:v>poniedziałek</c:v>
                </c:pt>
                <c:pt idx="1">
                  <c:v>wtorek</c:v>
                </c:pt>
                <c:pt idx="2">
                  <c:v>środa</c:v>
                </c:pt>
                <c:pt idx="3">
                  <c:v>czwartek</c:v>
                </c:pt>
                <c:pt idx="4">
                  <c:v>piątek</c:v>
                </c:pt>
                <c:pt idx="5">
                  <c:v>sobota</c:v>
                </c:pt>
                <c:pt idx="6">
                  <c:v>niedziela</c:v>
                </c:pt>
              </c:strCache>
            </c:strRef>
          </c:cat>
          <c:val>
            <c:numRef>
              <c:f>Obliczenia!$C$44:$C$51</c:f>
              <c:numCache>
                <c:formatCode>0.00</c:formatCode>
                <c:ptCount val="7"/>
                <c:pt idx="0">
                  <c:v>0.7631147437852015</c:v>
                </c:pt>
                <c:pt idx="1">
                  <c:v>0.76973206049044052</c:v>
                </c:pt>
                <c:pt idx="2">
                  <c:v>0.77883093776814993</c:v>
                </c:pt>
                <c:pt idx="3">
                  <c:v>0.77888913031065221</c:v>
                </c:pt>
                <c:pt idx="4">
                  <c:v>0.80044001980619939</c:v>
                </c:pt>
                <c:pt idx="5">
                  <c:v>0.59230722171172534</c:v>
                </c:pt>
                <c:pt idx="6">
                  <c:v>0.63252491611682016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6C-4452-957B-AA3B60E44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4705039"/>
        <c:axId val="1224708879"/>
      </c:lineChart>
      <c:catAx>
        <c:axId val="122470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24703599"/>
        <c:crosses val="autoZero"/>
        <c:auto val="1"/>
        <c:lblAlgn val="ctr"/>
        <c:lblOffset val="100"/>
        <c:noMultiLvlLbl val="0"/>
      </c:catAx>
      <c:valAx>
        <c:axId val="122470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24709359"/>
        <c:crosses val="autoZero"/>
        <c:crossBetween val="between"/>
      </c:valAx>
      <c:valAx>
        <c:axId val="1224708879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24705039"/>
        <c:crosses val="max"/>
        <c:crossBetween val="between"/>
      </c:valAx>
      <c:catAx>
        <c:axId val="12247050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247088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342900</xdr:colOff>
      <xdr:row>1</xdr:row>
      <xdr:rowOff>9525</xdr:rowOff>
    </xdr:from>
    <xdr:to>
      <xdr:col>12</xdr:col>
      <xdr:colOff>342900</xdr:colOff>
      <xdr:row>14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iesiąc">
              <a:extLst>
                <a:ext uri="{FF2B5EF4-FFF2-40B4-BE49-F238E27FC236}">
                  <a16:creationId xmlns:a16="http://schemas.microsoft.com/office/drawing/2014/main" id="{E041906D-7CE5-4DAD-CCE5-CAA5851B46B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iesią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29300" y="2000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0</xdr:row>
      <xdr:rowOff>190499</xdr:rowOff>
    </xdr:from>
    <xdr:to>
      <xdr:col>9</xdr:col>
      <xdr:colOff>333374</xdr:colOff>
      <xdr:row>20</xdr:row>
      <xdr:rowOff>180974</xdr:rowOff>
    </xdr:to>
    <xdr:graphicFrame macro="">
      <xdr:nvGraphicFramePr>
        <xdr:cNvPr id="8" name="Realizacja celów jakościowych (SLA i FCR)">
          <a:extLst>
            <a:ext uri="{FF2B5EF4-FFF2-40B4-BE49-F238E27FC236}">
              <a16:creationId xmlns:a16="http://schemas.microsoft.com/office/drawing/2014/main" id="{AE0B5A27-7C2B-4CA1-A424-BD216320EB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352425</xdr:colOff>
      <xdr:row>1</xdr:row>
      <xdr:rowOff>9525</xdr:rowOff>
    </xdr:from>
    <xdr:to>
      <xdr:col>24</xdr:col>
      <xdr:colOff>114300</xdr:colOff>
      <xdr:row>21</xdr:row>
      <xdr:rowOff>0</xdr:rowOff>
    </xdr:to>
    <xdr:graphicFrame macro="">
      <xdr:nvGraphicFramePr>
        <xdr:cNvPr id="9" name="Wolumen vs AHT w dniach tygodnia">
          <a:extLst>
            <a:ext uri="{FF2B5EF4-FFF2-40B4-BE49-F238E27FC236}">
              <a16:creationId xmlns:a16="http://schemas.microsoft.com/office/drawing/2014/main" id="{809DF61C-5212-409C-8CB5-20ED2386AE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609599</xdr:colOff>
      <xdr:row>0</xdr:row>
      <xdr:rowOff>190499</xdr:rowOff>
    </xdr:from>
    <xdr:to>
      <xdr:col>35</xdr:col>
      <xdr:colOff>447674</xdr:colOff>
      <xdr:row>21</xdr:row>
      <xdr:rowOff>85724</xdr:rowOff>
    </xdr:to>
    <xdr:graphicFrame macro="">
      <xdr:nvGraphicFramePr>
        <xdr:cNvPr id="10" name="Wykres 9">
          <a:extLst>
            <a:ext uri="{FF2B5EF4-FFF2-40B4-BE49-F238E27FC236}">
              <a16:creationId xmlns:a16="http://schemas.microsoft.com/office/drawing/2014/main" id="{2CCA383D-F6D0-48EA-AAF6-5E851A453A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9</xdr:col>
      <xdr:colOff>323850</xdr:colOff>
      <xdr:row>28</xdr:row>
      <xdr:rowOff>152400</xdr:rowOff>
    </xdr:to>
    <xdr:sp macro="" textlink="">
      <xdr:nvSpPr>
        <xdr:cNvPr id="11" name="pole tekstowe 10">
          <a:extLst>
            <a:ext uri="{FF2B5EF4-FFF2-40B4-BE49-F238E27FC236}">
              <a16:creationId xmlns:a16="http://schemas.microsoft.com/office/drawing/2014/main" id="{127E0041-1A24-DFCA-F9E2-EAB2236ABA70}"/>
            </a:ext>
          </a:extLst>
        </xdr:cNvPr>
        <xdr:cNvSpPr txBox="1"/>
      </xdr:nvSpPr>
      <xdr:spPr>
        <a:xfrm>
          <a:off x="0" y="4191000"/>
          <a:ext cx="5810250" cy="1295400"/>
        </a:xfrm>
        <a:prstGeom prst="rect">
          <a:avLst/>
        </a:prstGeom>
        <a:solidFill>
          <a:schemeClr val="bg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200"/>
            <a:t>Wskaźnik FCR wykazuje dużą stabilność i przez większość tygodnia utrzymuje się w okolicach założonego celu (85%). Oznacza to, że jakość pracy konsultantów i ich kompetencje do rozwiązywania problemów są na dobrym poziomie. Z kolei cel SLA (80%) jest regularnie niedotrzymywany od poniedziałku do czwartku (~76-78%), a w weekendy drastycznie spada poniżej 65%. Problem leży zatem w dostępności infolinii, a nie w jakości samej obsługi.</a:t>
          </a:r>
        </a:p>
      </xdr:txBody>
    </xdr:sp>
    <xdr:clientData/>
  </xdr:twoCellAnchor>
  <xdr:twoCellAnchor>
    <xdr:from>
      <xdr:col>13</xdr:col>
      <xdr:colOff>333375</xdr:colOff>
      <xdr:row>31</xdr:row>
      <xdr:rowOff>171450</xdr:rowOff>
    </xdr:from>
    <xdr:to>
      <xdr:col>23</xdr:col>
      <xdr:colOff>47625</xdr:colOff>
      <xdr:row>39</xdr:row>
      <xdr:rowOff>171450</xdr:rowOff>
    </xdr:to>
    <xdr:sp macro="" textlink="">
      <xdr:nvSpPr>
        <xdr:cNvPr id="12" name="pole tekstowe 11">
          <a:extLst>
            <a:ext uri="{FF2B5EF4-FFF2-40B4-BE49-F238E27FC236}">
              <a16:creationId xmlns:a16="http://schemas.microsoft.com/office/drawing/2014/main" id="{FE4641E8-473F-4D4F-B9F7-BB72A7F03458}"/>
            </a:ext>
          </a:extLst>
        </xdr:cNvPr>
        <xdr:cNvSpPr txBox="1"/>
      </xdr:nvSpPr>
      <xdr:spPr>
        <a:xfrm>
          <a:off x="8258175" y="6076950"/>
          <a:ext cx="6096000" cy="1524000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200"/>
            <a:t>Ruch na infolinii charakteryzuje się silną sezonowością, z wyraźną kumulacją w poniedziałki i środy. Czas obsługi (AHT) utrzymuje się na stabilnym poziomie w dni robocze, jednak zauważalnie spada w weekendy. Taka anomalia (niższy wolumen połączony z krótszym czasem rozmowy) może sugerować strukturalną zmianę profilu klienta - w soboty i niedziele zgłaszane są prawdopodobnie prostsze, szybsze do rozwiązania sprawy. Biorąc jednak pod uwagę drastyczny spadek SLA w te same dni, istnieje ryzyko, że agenci widzą rosnącą kolejkę i pod presją celowo przyspieszają zamykanie połączeń. </a:t>
          </a:r>
        </a:p>
      </xdr:txBody>
    </xdr:sp>
    <xdr:clientData/>
  </xdr:twoCellAnchor>
  <xdr:twoCellAnchor>
    <xdr:from>
      <xdr:col>25</xdr:col>
      <xdr:colOff>457200</xdr:colOff>
      <xdr:row>23</xdr:row>
      <xdr:rowOff>47625</xdr:rowOff>
    </xdr:from>
    <xdr:to>
      <xdr:col>35</xdr:col>
      <xdr:colOff>457200</xdr:colOff>
      <xdr:row>31</xdr:row>
      <xdr:rowOff>161925</xdr:rowOff>
    </xdr:to>
    <xdr:sp macro="" textlink="">
      <xdr:nvSpPr>
        <xdr:cNvPr id="13" name="pole tekstowe 12">
          <a:extLst>
            <a:ext uri="{FF2B5EF4-FFF2-40B4-BE49-F238E27FC236}">
              <a16:creationId xmlns:a16="http://schemas.microsoft.com/office/drawing/2014/main" id="{C017B01F-0C9F-43C1-88EB-9E263A6D0026}"/>
            </a:ext>
          </a:extLst>
        </xdr:cNvPr>
        <xdr:cNvSpPr txBox="1"/>
      </xdr:nvSpPr>
      <xdr:spPr>
        <a:xfrm>
          <a:off x="15982950" y="4429125"/>
          <a:ext cx="6096000" cy="1638300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200"/>
            <a:t>Wykres obciążenia pracą dowodzi, że planowanie zasobów w dni robocze jest realizowane bardzo skutecznie. Mimo wysokiej liczby godzin połączeń, wskaźnik SLA pozostaje stabilny i utrzymuje się blisko zakładanego celu (80%). System załamuje się dopiero w weekendy. Choć łączny czas obsługi jest wtedy ułamkowy w porównaniu do reszty tygodnia, SLA drastycznie spada. To może świadczyć</a:t>
          </a:r>
          <a:r>
            <a:rPr lang="pl-PL" sz="1200" baseline="0"/>
            <a:t> o tym, że na danej </a:t>
          </a:r>
          <a:r>
            <a:rPr lang="pl-PL" sz="1200"/>
            <a:t>zmianie zaplanowano tak mało osób, że każda pojedyncza przerwa pracownika, przedłużająca się rozmowa lub spóźnienie natychmiast generuje kolejkę oczekujących i niszczy wskaźnik dostępności.</a:t>
          </a:r>
        </a:p>
      </xdr:txBody>
    </xdr:sp>
    <xdr:clientData/>
  </xdr:twoCellAnchor>
  <xdr:twoCellAnchor>
    <xdr:from>
      <xdr:col>36</xdr:col>
      <xdr:colOff>0</xdr:colOff>
      <xdr:row>6</xdr:row>
      <xdr:rowOff>190499</xdr:rowOff>
    </xdr:from>
    <xdr:to>
      <xdr:col>42</xdr:col>
      <xdr:colOff>238125</xdr:colOff>
      <xdr:row>26</xdr:row>
      <xdr:rowOff>38100</xdr:rowOff>
    </xdr:to>
    <xdr:sp macro="" textlink="">
      <xdr:nvSpPr>
        <xdr:cNvPr id="14" name="pole tekstowe 13">
          <a:extLst>
            <a:ext uri="{FF2B5EF4-FFF2-40B4-BE49-F238E27FC236}">
              <a16:creationId xmlns:a16="http://schemas.microsoft.com/office/drawing/2014/main" id="{3110D595-4451-4951-BC03-0B62A3F72820}"/>
            </a:ext>
          </a:extLst>
        </xdr:cNvPr>
        <xdr:cNvSpPr txBox="1"/>
      </xdr:nvSpPr>
      <xdr:spPr>
        <a:xfrm>
          <a:off x="22307550" y="1333499"/>
          <a:ext cx="6096000" cy="3657601"/>
        </a:xfrm>
        <a:prstGeom prst="rect">
          <a:avLst/>
        </a:prstGeom>
        <a:solidFill>
          <a:schemeClr val="bg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200" b="0"/>
            <a:t>Wolumen vs SLA (0,32 / -0,33 bez weekendów): </a:t>
          </a:r>
          <a:r>
            <a:rPr lang="pl-PL" sz="1200"/>
            <a:t>Początkowy dodatni wynik dla całego tygodnia (0,32) to pozorna anomalia. Jest on matematycznie zaburzony przez weekendy, kiedy to drastycznie niski wolumen zbiega się z fatalnym SLA z powodu braków kadrowych. Po odizolowaniu danych i policzeniu korelacji wyłącznie dla dni roboczych, nasza hipoteza się potwierdza - wyłania się prawdziwa, ujemna zależność na poziomie -0,33. Wniosek: wyższy ruch bezpośrednio obniża SLA, co dowodzi, że obecny model grafików nie radzi sobie ze szczytami obciążenia w tygodniu.</a:t>
          </a:r>
        </a:p>
        <a:p>
          <a:endParaRPr lang="pl-PL" sz="1200"/>
        </a:p>
        <a:p>
          <a:r>
            <a:rPr lang="pl-PL" sz="1200"/>
            <a:t>Wpływ samego czasu obsługi (AHT) na dostępność infolinii (SLA) jest marginalny i wynosi zaledwie -0,08. To jasny sygnał dla biznesu, że to nie przedłużające się rozmowy psują jakość obsługi, ale czysty nadmiar dzwoniących w stosunku do liczby zaplanowanych etatów.</a:t>
          </a:r>
        </a:p>
        <a:p>
          <a:endParaRPr lang="pl-PL" sz="1200"/>
        </a:p>
        <a:p>
          <a:r>
            <a:rPr lang="pl-PL" sz="1200"/>
            <a:t>Uwagę przykuwa natomiast wyraźna, dodatnia korelacja wolumenu i AHT na poziomie 0,50. W dni o najwyższym natężeniu ruchu same rozmowy zauważalnie się wydłużają. Zjawisko to sugeruje nawarstwiające się problemy w trakcie pików zadzwonień. Klienci po długim czasie w kolejce prawdopodobnie frustrują się i wydłużają czas kontaktu, systemy CRM mogą zwalniać pod obciążeniem, a sami konsultanci wykazują naturalne zmęczenie. Zwiększenie obsady w dni rotacyjne powinno zatem nie tylko poprawić SLA, ale też wtórnie zredukować AHT.</a:t>
          </a:r>
        </a:p>
      </xdr:txBody>
    </xdr:sp>
    <xdr:clientData/>
  </xdr:twoCellAnchor>
  <xdr:twoCellAnchor>
    <xdr:from>
      <xdr:col>0</xdr:col>
      <xdr:colOff>152400</xdr:colOff>
      <xdr:row>43</xdr:row>
      <xdr:rowOff>57149</xdr:rowOff>
    </xdr:from>
    <xdr:to>
      <xdr:col>13</xdr:col>
      <xdr:colOff>247650</xdr:colOff>
      <xdr:row>67</xdr:row>
      <xdr:rowOff>95250</xdr:rowOff>
    </xdr:to>
    <xdr:sp macro="" textlink="">
      <xdr:nvSpPr>
        <xdr:cNvPr id="15" name="pole tekstowe 14">
          <a:extLst>
            <a:ext uri="{FF2B5EF4-FFF2-40B4-BE49-F238E27FC236}">
              <a16:creationId xmlns:a16="http://schemas.microsoft.com/office/drawing/2014/main" id="{25B19C6C-5695-4A89-4307-89FF0D2956DB}"/>
            </a:ext>
          </a:extLst>
        </xdr:cNvPr>
        <xdr:cNvSpPr txBox="1"/>
      </xdr:nvSpPr>
      <xdr:spPr>
        <a:xfrm>
          <a:off x="152400" y="8248649"/>
          <a:ext cx="8020050" cy="4610101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100"/>
            <a:t>Wnioski i rekomendacje:</a:t>
          </a:r>
          <a:br>
            <a:rPr lang="pl-PL" sz="1100"/>
          </a:br>
          <a:br>
            <a:rPr lang="pl-PL" sz="1100"/>
          </a:br>
          <a:r>
            <a:rPr lang="pl-PL" b="1"/>
            <a:t>Główne wnioski analityczne:</a:t>
          </a:r>
        </a:p>
        <a:p>
          <a:r>
            <a:rPr lang="pl-PL" b="1"/>
            <a:t>Niedopasowanie grafików do krzywej ruchu:</a:t>
          </a:r>
          <a:r>
            <a:rPr lang="pl-PL"/>
            <a:t> Od</a:t>
          </a:r>
          <a:r>
            <a:rPr lang="pl-PL" baseline="0"/>
            <a:t> poniedziałku do czwartku nieco brakuje do optymalnego SLA, natomiast w piątki, kiedy ilość połączeń spada, SLA osiąga porządany poziom, a nawet go przewyższa. </a:t>
          </a:r>
          <a:endParaRPr lang="pl-PL"/>
        </a:p>
        <a:p>
          <a:r>
            <a:rPr lang="pl-PL" b="1"/>
            <a:t>Jakość odporna na obciążenie:</a:t>
          </a:r>
          <a:r>
            <a:rPr lang="pl-PL"/>
            <a:t> Konsultanci utrzymują wysoką skuteczność pierwszego kontaktu (FCR ~85%) niezależnie od długości kolejki i ilości pracy. To mocny punkt operacyjny zespołu.</a:t>
          </a:r>
        </a:p>
        <a:p>
          <a:r>
            <a:rPr lang="pl-PL" b="1"/>
            <a:t>Pułapka weekendowa:</a:t>
          </a:r>
          <a:r>
            <a:rPr lang="pl-PL"/>
            <a:t> Ze względu na marginalny udział weekendów w całkowitym ruchu, firma najprawdopodobniej tnie koszty i wystawia absolutne minimum pracowników. Skutkuje to jednak najgorszą dostępnością w całym tygodniu, co może rzutować na ogólne zadowolenie klientów.</a:t>
          </a:r>
        </a:p>
        <a:p>
          <a:endParaRPr lang="pl-PL"/>
        </a:p>
        <a:p>
          <a:endParaRPr lang="pl-PL" b="0"/>
        </a:p>
        <a:p>
          <a:r>
            <a:rPr lang="pl-PL" b="0"/>
            <a:t>R</a:t>
          </a:r>
          <a:r>
            <a:rPr lang="pl-PL" b="1"/>
            <a:t>ekomendacje:</a:t>
          </a:r>
          <a:endParaRPr lang="pl-PL"/>
        </a:p>
        <a:p>
          <a:r>
            <a:rPr lang="pl-PL" b="1"/>
            <a:t>Przemodelowanie grafików: </a:t>
          </a:r>
          <a:r>
            <a:rPr lang="pl-PL"/>
            <a:t>Od poniedziałku do czwartku brakuje nieco obsady, żeby dopiąć cel SLA, choć wyniki są bliskie normy. Sytuacja odwraca się w piątki - ruch naturalnie spada, przez co wskaźnik z łatwością osiąga, a wręcz przekracza pożądany poziom. Oznacza to, że część obsady z piątku można bezpiecznie przesunąć na początek tygodnia.</a:t>
          </a:r>
        </a:p>
        <a:p>
          <a:r>
            <a:rPr lang="pl-PL" b="1"/>
            <a:t>Hybrydowe weekendy:</a:t>
          </a:r>
          <a:r>
            <a:rPr lang="pl-PL"/>
            <a:t> Aby naprawić SLA w soboty i niedziele bez ponoszenia pełnych kosztów etatów, warto wprowadzić dyżury wielozadaniowe (np. pracownicy odpowiadają na maile/czaty, ale odbierają telefony</a:t>
          </a:r>
          <a:r>
            <a:rPr lang="pl-PL" baseline="0"/>
            <a:t> </a:t>
          </a:r>
          <a:r>
            <a:rPr lang="pl-PL"/>
            <a:t>jako priorytet). Możliwe jednak, że obecny model obsady szkieletowej jest optymalny finansowo, a niższa dostępność w weekendy to w pełni akceptowalne ryzyko operacyjne.</a:t>
          </a:r>
        </a:p>
        <a:p>
          <a:endParaRPr lang="pl-PL"/>
        </a:p>
        <a:p>
          <a:r>
            <a:rPr lang="pl-PL" b="1"/>
            <a:t>Co warto sprawdzić dalej:</a:t>
          </a:r>
          <a:endParaRPr lang="pl-PL"/>
        </a:p>
        <a:p>
          <a:r>
            <a:rPr lang="pl-PL" b="1"/>
            <a:t>Analiza</a:t>
          </a:r>
          <a:r>
            <a:rPr lang="pl-PL" b="1" baseline="0"/>
            <a:t> </a:t>
          </a:r>
          <a:r>
            <a:rPr lang="pl-PL" b="1"/>
            <a:t>rozkładu godzinowego:</a:t>
          </a:r>
          <a:r>
            <a:rPr lang="pl-PL"/>
            <a:t> Agregacja dzienna ukrywa mikrotrendy. Należy sprawdzić, w których dokładnie godzinach w poniedziałki i środy SLA spada, aby precyzyjnie celować z przerwami dla pracowników.</a:t>
          </a:r>
        </a:p>
        <a:p>
          <a:r>
            <a:rPr lang="pl-PL" b="1"/>
            <a:t>Analiza przyczyn AHT:</a:t>
          </a:r>
          <a:r>
            <a:rPr lang="pl-PL" b="1" baseline="0"/>
            <a:t> </a:t>
          </a:r>
          <a:r>
            <a:rPr lang="pl-PL"/>
            <a:t>Zbadanie, dlaczego w dniach o największym ruchu czas rozmowy ulega wydłużeniu – czy klienci dzwonią z bardziej złożonymi problemami,</a:t>
          </a:r>
          <a:r>
            <a:rPr lang="pl-PL" baseline="0"/>
            <a:t> </a:t>
          </a:r>
          <a:r>
            <a:rPr lang="pl-PL"/>
            <a:t>czy występują spowolnienia systemów IT.</a:t>
          </a:r>
        </a:p>
        <a:p>
          <a:endParaRPr lang="pl-PL"/>
        </a:p>
        <a:p>
          <a:endParaRPr lang="pl-PL"/>
        </a:p>
        <a:p>
          <a:endParaRPr lang="pl-PL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zemysław Niewiem" refreshedDate="46162.498474884262" createdVersion="8" refreshedVersion="8" minRefreshableVersion="3" recordCount="138" xr:uid="{8473FD2D-A74E-4B96-A6A0-DD5AB8B743B8}">
  <cacheSource type="worksheet">
    <worksheetSource name="DaneCC"/>
  </cacheSource>
  <cacheFields count="16">
    <cacheField name="Data" numFmtId="0">
      <sharedItems containsBlank="1"/>
    </cacheField>
    <cacheField name="Kanał" numFmtId="0">
      <sharedItems containsBlank="1"/>
    </cacheField>
    <cacheField name="Połączenia przychodzące" numFmtId="0">
      <sharedItems containsString="0" containsBlank="1" containsNumber="1" containsInteger="1" minValue="51" maxValue="2012"/>
    </cacheField>
    <cacheField name="Połączenia odebrane" numFmtId="0">
      <sharedItems containsString="0" containsBlank="1" containsNumber="1" containsInteger="1" minValue="47" maxValue="1756"/>
    </cacheField>
    <cacheField name="Połączenia porzucone" numFmtId="0">
      <sharedItems containsString="0" containsBlank="1" containsNumber="1" containsInteger="1" minValue="-1" maxValue="256"/>
    </cacheField>
    <cacheField name="Czas obsługi" numFmtId="164">
      <sharedItems containsSemiMixedTypes="0" containsString="0" containsNumber="1" minValue="292.21739130434798" maxValue="677.72072072072103"/>
    </cacheField>
    <cacheField name="Średni czas oczekiwania (AWT) [sek]" numFmtId="164">
      <sharedItems containsSemiMixedTypes="0" containsString="0" containsNumber="1" minValue="9.6101485148514794" maxValue="624.632653061224"/>
    </cacheField>
    <cacheField name="FCR" numFmtId="9">
      <sharedItems containsSemiMixedTypes="0" containsString="0" containsNumber="1" minValue="0.81" maxValue="0.89"/>
    </cacheField>
    <cacheField name="SLA" numFmtId="10">
      <sharedItems containsSemiMixedTypes="0" containsString="0" containsNumber="1" minValue="0.24242424242424199" maxValue="0.951970443349754"/>
    </cacheField>
    <cacheField name="Nr dnia tygodnia" numFmtId="0">
      <sharedItems containsSemiMixedTypes="0" containsString="0" containsNumber="1" containsInteger="1" minValue="1" maxValue="7"/>
    </cacheField>
    <cacheField name="Dzień tygodnia" numFmtId="0">
      <sharedItems count="7">
        <s v="czwartek"/>
        <s v="piątek"/>
        <s v="sobota"/>
        <s v="niedziela"/>
        <s v="poniedziałek"/>
        <s v="wtorek"/>
        <s v="środa"/>
      </sharedItems>
    </cacheField>
    <cacheField name="Miesiąc" numFmtId="0">
      <sharedItems count="5">
        <s v="styczeń"/>
        <s v="luty"/>
        <s v="marzec"/>
        <s v="kwiecień"/>
        <s v="maj"/>
      </sharedItems>
    </cacheField>
    <cacheField name="Cel FCR" numFmtId="9">
      <sharedItems containsSemiMixedTypes="0" containsString="0" containsNumber="1" minValue="0.85" maxValue="0.85"/>
    </cacheField>
    <cacheField name="Cel SLA" numFmtId="9">
      <sharedItems containsSemiMixedTypes="0" containsString="0" containsNumber="1" minValue="0.8" maxValue="0.8"/>
    </cacheField>
    <cacheField name="Workload" numFmtId="0">
      <sharedItems containsSemiMixedTypes="0" containsString="0" containsNumber="1" minValue="0" maxValue="1147261.649202734"/>
    </cacheField>
    <cacheField name="Praca w godzinach" numFmtId="0" formula="Workload/3600" databaseField="0"/>
  </cacheFields>
  <extLst>
    <ext xmlns:x14="http://schemas.microsoft.com/office/spreadsheetml/2009/9/main" uri="{725AE2AE-9491-48be-B2B4-4EB974FC3084}">
      <x14:pivotCacheDefinition pivotCacheId="84070269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s v="2026-01-01"/>
    <s v="Infolinia przychodząca"/>
    <n v="133"/>
    <n v="92"/>
    <n v="41"/>
    <n v="530.16304347826099"/>
    <n v="142.565217391304"/>
    <n v="0.89"/>
    <n v="0.55434782608695699"/>
    <n v="4"/>
    <x v="0"/>
    <x v="0"/>
    <n v="0.85"/>
    <n v="0.8"/>
    <n v="70511.684782608718"/>
  </r>
  <r>
    <s v="2026-01-02"/>
    <s v="Infolinia przychodząca"/>
    <n v="1390"/>
    <n v="1299"/>
    <n v="91"/>
    <n v="562.13933795227103"/>
    <n v="60.047433903577002"/>
    <n v="0.86"/>
    <n v="0.63202463433410305"/>
    <n v="5"/>
    <x v="1"/>
    <x v="0"/>
    <n v="0.85"/>
    <n v="0.8"/>
    <n v="781373.67975365673"/>
  </r>
  <r>
    <s v="2026-01-03"/>
    <s v="Infolinia przychodząca"/>
    <n v="274"/>
    <n v="155"/>
    <n v="119"/>
    <n v="655.21935483871005"/>
    <n v="442.54545454545502"/>
    <n v="0.84000000000000008"/>
    <n v="0.25806451612903197"/>
    <n v="6"/>
    <x v="2"/>
    <x v="0"/>
    <n v="0.85"/>
    <n v="0.8"/>
    <n v="179530.10322580655"/>
  </r>
  <r>
    <s v="2026-01-04"/>
    <s v="Infolinia przychodząca"/>
    <n v="234"/>
    <n v="99"/>
    <n v="135"/>
    <n v="549.46464646464597"/>
    <n v="624.632653061224"/>
    <n v="0.86"/>
    <n v="0.24242424242424199"/>
    <n v="7"/>
    <x v="3"/>
    <x v="0"/>
    <n v="0.85"/>
    <n v="0.8"/>
    <n v="128574.72727272716"/>
  </r>
  <r>
    <s v="2026-01-05"/>
    <s v="Infolinia przychodząca"/>
    <n v="1505"/>
    <n v="1335"/>
    <n v="170"/>
    <n v="577.55880149812697"/>
    <n v="125.055094339623"/>
    <n v="0.86"/>
    <n v="0.39250936329587999"/>
    <n v="1"/>
    <x v="4"/>
    <x v="0"/>
    <n v="0.85"/>
    <n v="0.8"/>
    <n v="869225.99625468114"/>
  </r>
  <r>
    <s v="2026-01-06"/>
    <s v="Infolinia przychodząca"/>
    <n v="211"/>
    <n v="146"/>
    <n v="65"/>
    <n v="477.53424657534202"/>
    <n v="275.10416666666703"/>
    <n v="0.83000000000000007"/>
    <n v="0.42465753424657499"/>
    <n v="2"/>
    <x v="5"/>
    <x v="0"/>
    <n v="0.85"/>
    <n v="0.8"/>
    <n v="100759.72602739716"/>
  </r>
  <r>
    <s v="2026-01-07"/>
    <s v="Infolinia przychodząca"/>
    <n v="1783"/>
    <n v="1594"/>
    <n v="189"/>
    <n v="542.20075282308699"/>
    <n v="98.040660736975894"/>
    <n v="0.84000000000000008"/>
    <n v="0.49498117942283598"/>
    <n v="3"/>
    <x v="6"/>
    <x v="0"/>
    <n v="0.85"/>
    <n v="0.8"/>
    <n v="966743.94228356413"/>
  </r>
  <r>
    <s v="2026-01-08"/>
    <s v="Infolinia przychodząca"/>
    <n v="1391"/>
    <n v="1276"/>
    <n v="115"/>
    <n v="564.15987460815097"/>
    <n v="83.185185185185205"/>
    <n v="0.86"/>
    <n v="0.55250783699059602"/>
    <n v="4"/>
    <x v="0"/>
    <x v="0"/>
    <n v="0.85"/>
    <n v="0.8"/>
    <n v="784746.38557993795"/>
  </r>
  <r>
    <s v="2026-01-09"/>
    <s v="Infolinia przychodząca"/>
    <n v="1382"/>
    <n v="1319"/>
    <n v="63"/>
    <n v="555.86732373009897"/>
    <n v="46.543096872616303"/>
    <n v="0.85000000000000009"/>
    <n v="0.68840030326004598"/>
    <n v="5"/>
    <x v="1"/>
    <x v="0"/>
    <n v="0.85"/>
    <n v="0.8"/>
    <n v="768208.64139499678"/>
  </r>
  <r>
    <s v="2026-01-10"/>
    <s v="Infolinia przychodząca"/>
    <n v="251"/>
    <n v="163"/>
    <n v="88"/>
    <n v="517.33742331288295"/>
    <n v="330.72392638036803"/>
    <n v="0.84000000000000008"/>
    <n v="0.41104294478527598"/>
    <n v="6"/>
    <x v="2"/>
    <x v="0"/>
    <n v="0.85"/>
    <n v="0.8"/>
    <n v="129851.69325153362"/>
  </r>
  <r>
    <s v="2026-01-11"/>
    <s v="Infolinia przychodząca"/>
    <n v="204"/>
    <n v="137"/>
    <n v="67"/>
    <n v="538.88321167883203"/>
    <n v="299.66911764705901"/>
    <n v="0.81"/>
    <n v="0.42335766423357701"/>
    <n v="7"/>
    <x v="3"/>
    <x v="0"/>
    <n v="0.85"/>
    <n v="0.8"/>
    <n v="109932.17518248173"/>
  </r>
  <r>
    <s v="2026-01-12"/>
    <s v="Infolinia przychodząca"/>
    <n v="1347"/>
    <n v="1315"/>
    <n v="32"/>
    <n v="531.61596958174903"/>
    <n v="32.487730061349701"/>
    <n v="0.81"/>
    <n v="0.808365019011407"/>
    <n v="1"/>
    <x v="4"/>
    <x v="0"/>
    <n v="0.85"/>
    <n v="0.8"/>
    <n v="716086.71102661593"/>
  </r>
  <r>
    <s v="2026-01-13"/>
    <s v="Infolinia przychodząca"/>
    <n v="1292"/>
    <n v="1227"/>
    <n v="65"/>
    <n v="576.17848410757904"/>
    <n v="53.309719934102098"/>
    <n v="0.82000000000000006"/>
    <n v="0.61776691116544402"/>
    <n v="2"/>
    <x v="5"/>
    <x v="0"/>
    <n v="0.85"/>
    <n v="0.8"/>
    <n v="744422.60146699217"/>
  </r>
  <r>
    <s v="2026-01-14"/>
    <s v="Infolinia przychodząca"/>
    <n v="1262"/>
    <n v="1254"/>
    <n v="8"/>
    <n v="530.47368421052602"/>
    <n v="23.354604200323099"/>
    <n v="0.84000000000000008"/>
    <n v="0.87161084529505595"/>
    <n v="3"/>
    <x v="6"/>
    <x v="0"/>
    <n v="0.85"/>
    <n v="0.8"/>
    <n v="669457.78947368381"/>
  </r>
  <r>
    <s v="2026-01-15"/>
    <s v="Infolinia przychodząca"/>
    <n v="1023"/>
    <n v="989"/>
    <n v="34"/>
    <n v="579.99393326592497"/>
    <n v="23.377032520325201"/>
    <n v="0.85000000000000009"/>
    <n v="0.81900910010111205"/>
    <n v="4"/>
    <x v="0"/>
    <x v="0"/>
    <n v="0.85"/>
    <n v="0.8"/>
    <n v="593333.79373104125"/>
  </r>
  <r>
    <s v="2026-01-16"/>
    <s v="Infolinia przychodząca"/>
    <n v="910"/>
    <n v="900"/>
    <n v="10"/>
    <n v="581.23333333333301"/>
    <n v="16.815848214285701"/>
    <n v="0.88"/>
    <n v="0.85555555555555596"/>
    <n v="5"/>
    <x v="1"/>
    <x v="0"/>
    <n v="0.85"/>
    <n v="0.8"/>
    <n v="528922.33333333302"/>
  </r>
  <r>
    <s v="2026-01-17"/>
    <s v="Infolinia przychodząca"/>
    <n v="195"/>
    <n v="134"/>
    <n v="61"/>
    <n v="624.14925373134304"/>
    <n v="242.81679389313001"/>
    <n v="0.87"/>
    <n v="0.38805970149253699"/>
    <n v="6"/>
    <x v="2"/>
    <x v="0"/>
    <n v="0.85"/>
    <n v="0.8"/>
    <n v="121709.10447761189"/>
  </r>
  <r>
    <s v="2026-01-18"/>
    <s v="Infolinia przychodząca"/>
    <n v="115"/>
    <n v="99"/>
    <n v="16"/>
    <n v="458.33333333333297"/>
    <n v="115.24242424242399"/>
    <n v="0.87"/>
    <n v="0.59595959595959602"/>
    <n v="7"/>
    <x v="3"/>
    <x v="0"/>
    <n v="0.85"/>
    <n v="0.8"/>
    <n v="52708.333333333292"/>
  </r>
  <r>
    <s v="2026-01-19"/>
    <s v="Infolinia przychodząca"/>
    <n v="1220"/>
    <n v="1197"/>
    <n v="23"/>
    <n v="546.96491228070204"/>
    <n v="19.383642495784098"/>
    <n v="0.88"/>
    <n v="0.86633249791144495"/>
    <n v="1"/>
    <x v="4"/>
    <x v="0"/>
    <n v="0.85"/>
    <n v="0.8"/>
    <n v="667297.19298245653"/>
  </r>
  <r>
    <s v="2026-01-20"/>
    <s v="Infolinia przychodząca"/>
    <n v="1128"/>
    <n v="1100"/>
    <n v="28"/>
    <n v="584.649090909091"/>
    <n v="40.172033118675301"/>
    <n v="0.88"/>
    <n v="0.76181818181818195"/>
    <n v="2"/>
    <x v="5"/>
    <x v="0"/>
    <n v="0.85"/>
    <n v="0.8"/>
    <n v="659484.17454545468"/>
  </r>
  <r>
    <s v="2026-01-21"/>
    <s v="Infolinia przychodząca"/>
    <n v="927"/>
    <n v="920"/>
    <n v="7"/>
    <n v="602.73478260869604"/>
    <n v="24.325581395348799"/>
    <n v="0.84000000000000008"/>
    <n v="0.84239130434782605"/>
    <n v="3"/>
    <x v="6"/>
    <x v="0"/>
    <n v="0.85"/>
    <n v="0.8"/>
    <n v="558735.14347826119"/>
  </r>
  <r>
    <s v="2026-01-22"/>
    <s v="Infolinia przychodząca"/>
    <n v="902"/>
    <n v="895"/>
    <n v="7"/>
    <n v="602.94078212290503"/>
    <n v="10.8"/>
    <n v="0.88"/>
    <n v="0.94748603351955296"/>
    <n v="4"/>
    <x v="0"/>
    <x v="0"/>
    <n v="0.85"/>
    <n v="0.8"/>
    <n v="543852.58547486039"/>
  </r>
  <r>
    <s v="2026-01-23"/>
    <s v="Infolinia przychodząca"/>
    <n v="844"/>
    <n v="835"/>
    <n v="9"/>
    <n v="588.98083832335305"/>
    <n v="15.329312424608"/>
    <n v="0.85000000000000009"/>
    <n v="0.86586826347305401"/>
    <n v="5"/>
    <x v="1"/>
    <x v="0"/>
    <n v="0.85"/>
    <n v="0.8"/>
    <n v="497099.82754490996"/>
  </r>
  <r>
    <s v="2026-01-24"/>
    <s v="Infolinia przychodząca"/>
    <n v="182"/>
    <n v="131"/>
    <n v="51"/>
    <n v="548.31297709923695"/>
    <n v="176.84615384615401"/>
    <n v="0.81"/>
    <n v="0.40458015267175601"/>
    <n v="6"/>
    <x v="2"/>
    <x v="0"/>
    <n v="0.85"/>
    <n v="0.8"/>
    <n v="99792.961832061119"/>
  </r>
  <r>
    <s v="2026-01-25"/>
    <s v="Infolinia przychodząca"/>
    <n v="141"/>
    <n v="108"/>
    <n v="33"/>
    <n v="470.5"/>
    <n v="182.166666666667"/>
    <n v="0.88"/>
    <n v="0.48148148148148101"/>
    <n v="7"/>
    <x v="3"/>
    <x v="0"/>
    <n v="0.85"/>
    <n v="0.8"/>
    <n v="66340.5"/>
  </r>
  <r>
    <s v="2026-01-26"/>
    <s v="Infolinia przychodząca"/>
    <n v="1296"/>
    <n v="1211"/>
    <n v="85"/>
    <n v="492.649050371594"/>
    <n v="53.860465116279101"/>
    <n v="0.81"/>
    <n v="0.73162675474814198"/>
    <n v="1"/>
    <x v="4"/>
    <x v="0"/>
    <n v="0.85"/>
    <n v="0.8"/>
    <n v="638473.16928158584"/>
  </r>
  <r>
    <s v="2026-01-27"/>
    <s v="Infolinia przychodząca"/>
    <n v="897"/>
    <n v="896"/>
    <n v="1"/>
    <n v="540.265625"/>
    <n v="14.082299887260399"/>
    <n v="0.82000000000000006"/>
    <n v="0.9296875"/>
    <n v="2"/>
    <x v="5"/>
    <x v="0"/>
    <n v="0.85"/>
    <n v="0.8"/>
    <n v="484618.265625"/>
  </r>
  <r>
    <s v="2026-01-28"/>
    <s v="Infolinia przychodząca"/>
    <n v="919"/>
    <n v="890"/>
    <n v="29"/>
    <n v="564.26853932584299"/>
    <n v="25.300675675675699"/>
    <n v="0.85000000000000009"/>
    <n v="0.85617977528089895"/>
    <n v="3"/>
    <x v="6"/>
    <x v="0"/>
    <n v="0.85"/>
    <n v="0.8"/>
    <n v="518562.78764044971"/>
  </r>
  <r>
    <s v="2026-01-29"/>
    <s v="Infolinia przychodząca"/>
    <n v="1083"/>
    <n v="1058"/>
    <n v="25"/>
    <n v="526.87051039697496"/>
    <n v="29.860663507108999"/>
    <n v="0.88"/>
    <n v="0.79584120982986795"/>
    <n v="4"/>
    <x v="0"/>
    <x v="0"/>
    <n v="0.85"/>
    <n v="0.8"/>
    <n v="570600.76275992393"/>
  </r>
  <r>
    <s v="2026-01-30"/>
    <s v="Infolinia przychodząca"/>
    <n v="1035"/>
    <n v="1006"/>
    <n v="29"/>
    <n v="546.81212723658098"/>
    <n v="31.0110220440882"/>
    <n v="0.85000000000000009"/>
    <n v="0.75447316103379702"/>
    <n v="5"/>
    <x v="1"/>
    <x v="0"/>
    <n v="0.85"/>
    <n v="0.8"/>
    <n v="565950.55168986134"/>
  </r>
  <r>
    <s v="2026-01-31"/>
    <s v="Infolinia przychodząca"/>
    <n v="171"/>
    <n v="123"/>
    <n v="48"/>
    <n v="648.82113821138205"/>
    <n v="218.760330578512"/>
    <n v="0.84000000000000008"/>
    <n v="0.39024390243902402"/>
    <n v="6"/>
    <x v="2"/>
    <x v="0"/>
    <n v="0.85"/>
    <n v="0.8"/>
    <n v="110948.41463414633"/>
  </r>
  <r>
    <s v="2026-02-01"/>
    <s v="Infolinia przychodząca"/>
    <n v="138"/>
    <n v="98"/>
    <n v="40"/>
    <n v="589.67346938775495"/>
    <n v="130.07446808510599"/>
    <n v="0.83000000000000007"/>
    <n v="0.52040816326530603"/>
    <n v="7"/>
    <x v="3"/>
    <x v="1"/>
    <n v="0.85"/>
    <n v="0.8"/>
    <n v="81374.938775510178"/>
  </r>
  <r>
    <s v="2026-02-02"/>
    <s v="Infolinia przychodząca"/>
    <n v="1400"/>
    <n v="1300"/>
    <n v="100"/>
    <n v="524.99846153846204"/>
    <n v="67.315707620528798"/>
    <n v="0.82000000000000006"/>
    <n v="0.57769230769230795"/>
    <n v="1"/>
    <x v="4"/>
    <x v="1"/>
    <n v="0.85"/>
    <n v="0.8"/>
    <n v="734997.84615384683"/>
  </r>
  <r>
    <s v="2026-02-03"/>
    <s v="Infolinia przychodząca"/>
    <n v="991"/>
    <n v="984"/>
    <n v="7"/>
    <n v="554.73475609756099"/>
    <n v="23.831275720164601"/>
    <n v="0.88"/>
    <n v="0.82723577235772405"/>
    <n v="2"/>
    <x v="5"/>
    <x v="1"/>
    <n v="0.85"/>
    <n v="0.8"/>
    <n v="549742.14329268294"/>
  </r>
  <r>
    <s v="2026-02-04"/>
    <s v="Infolinia przychodząca"/>
    <n v="1161"/>
    <n v="1142"/>
    <n v="19"/>
    <n v="558.93169877408104"/>
    <n v="34.832599118942703"/>
    <n v="0.88"/>
    <n v="0.71103327495621704"/>
    <n v="3"/>
    <x v="6"/>
    <x v="1"/>
    <n v="0.85"/>
    <n v="0.8"/>
    <n v="648919.70227670809"/>
  </r>
  <r>
    <s v="2026-02-05"/>
    <s v="Infolinia przychodząca"/>
    <n v="967"/>
    <n v="956"/>
    <n v="11"/>
    <n v="570.17677824267798"/>
    <n v="25.762105263157899"/>
    <n v="0.88"/>
    <n v="0.84937238493723899"/>
    <n v="4"/>
    <x v="0"/>
    <x v="1"/>
    <n v="0.85"/>
    <n v="0.8"/>
    <n v="551360.9445606696"/>
  </r>
  <r>
    <s v="2026-02-06"/>
    <s v="Infolinia przychodząca"/>
    <n v="917"/>
    <n v="898"/>
    <n v="19"/>
    <n v="548.455456570156"/>
    <n v="23.660292463442101"/>
    <n v="0.88"/>
    <n v="0.84187082405345204"/>
    <n v="5"/>
    <x v="1"/>
    <x v="1"/>
    <n v="0.85"/>
    <n v="0.8"/>
    <n v="502933.65367483307"/>
  </r>
  <r>
    <s v="2026-02-07"/>
    <s v="Infolinia przychodząca"/>
    <n v="193"/>
    <n v="133"/>
    <n v="60"/>
    <n v="523.79699248120301"/>
    <n v="237.43939393939399"/>
    <n v="0.89"/>
    <n v="0.42857142857142899"/>
    <n v="6"/>
    <x v="2"/>
    <x v="1"/>
    <n v="0.85"/>
    <n v="0.8"/>
    <n v="101092.81954887218"/>
  </r>
  <r>
    <s v="2026-02-08"/>
    <s v="Infolinia przychodząca"/>
    <n v="144"/>
    <n v="120"/>
    <n v="24"/>
    <n v="418.14166666666699"/>
    <n v="90.1666666666667"/>
    <n v="0.82000000000000006"/>
    <n v="0.59166666666666701"/>
    <n v="7"/>
    <x v="3"/>
    <x v="1"/>
    <n v="0.85"/>
    <n v="0.8"/>
    <n v="60212.400000000045"/>
  </r>
  <r>
    <s v="2026-02-09"/>
    <s v="Infolinia przychodząca"/>
    <n v="1072"/>
    <n v="1064"/>
    <n v="8"/>
    <n v="543.85338345864704"/>
    <n v="13.990574929312"/>
    <n v="0.89"/>
    <n v="0.88815789473684204"/>
    <n v="1"/>
    <x v="4"/>
    <x v="1"/>
    <n v="0.85"/>
    <n v="0.8"/>
    <n v="583010.8270676696"/>
  </r>
  <r>
    <s v="2026-02-10"/>
    <s v="Infolinia przychodząca"/>
    <n v="1026"/>
    <n v="1007"/>
    <n v="19"/>
    <n v="538.78252234359502"/>
    <n v="19.178286852589601"/>
    <n v="0.86"/>
    <n v="0.92552135054617701"/>
    <n v="2"/>
    <x v="5"/>
    <x v="1"/>
    <n v="0.85"/>
    <n v="0.8"/>
    <n v="552790.86792452855"/>
  </r>
  <r>
    <s v="2026-02-11"/>
    <s v="Infolinia przychodząca"/>
    <n v="929"/>
    <n v="894"/>
    <n v="35"/>
    <n v="580.89373601789703"/>
    <n v="35.421171171171203"/>
    <n v="0.88"/>
    <n v="0.78635346756152102"/>
    <n v="3"/>
    <x v="6"/>
    <x v="1"/>
    <n v="0.85"/>
    <n v="0.8"/>
    <n v="539650.28076062631"/>
  </r>
  <r>
    <s v="2026-02-12"/>
    <s v="Infolinia przychodząca"/>
    <n v="930"/>
    <n v="907"/>
    <n v="23"/>
    <n v="540.44101433296601"/>
    <n v="29.168327796234799"/>
    <n v="0.81"/>
    <n v="0.78169790518191795"/>
    <n v="4"/>
    <x v="0"/>
    <x v="1"/>
    <n v="0.85"/>
    <n v="0.8"/>
    <n v="502610.14332965837"/>
  </r>
  <r>
    <s v="2026-02-13"/>
    <s v="Infolinia przychodząca"/>
    <n v="811"/>
    <n v="812"/>
    <n v="-1"/>
    <n v="506.85467980295601"/>
    <n v="9.6101485148514794"/>
    <n v="0.87"/>
    <n v="0.951970443349754"/>
    <n v="5"/>
    <x v="1"/>
    <x v="1"/>
    <n v="0.85"/>
    <n v="0.8"/>
    <n v="411059.14532019733"/>
  </r>
  <r>
    <s v="2026-02-14"/>
    <s v="Infolinia przychodząca"/>
    <n v="141"/>
    <n v="112"/>
    <n v="29"/>
    <n v="526.96428571428601"/>
    <n v="131.40366972477099"/>
    <n v="0.83000000000000007"/>
    <n v="0.61607142857142905"/>
    <n v="6"/>
    <x v="2"/>
    <x v="1"/>
    <n v="0.85"/>
    <n v="0.8"/>
    <n v="74301.964285714334"/>
  </r>
  <r>
    <s v="2026-02-15"/>
    <s v="Infolinia przychodząca"/>
    <n v="110"/>
    <n v="104"/>
    <n v="6"/>
    <n v="386.711538461538"/>
    <n v="106.5"/>
    <n v="0.83000000000000007"/>
    <n v="0.61538461538461497"/>
    <n v="7"/>
    <x v="3"/>
    <x v="1"/>
    <n v="0.85"/>
    <n v="0.8"/>
    <n v="42538.269230769183"/>
  </r>
  <r>
    <s v="2026-02-16"/>
    <s v="Infolinia przychodząca"/>
    <n v="928"/>
    <n v="917"/>
    <n v="11"/>
    <n v="545.29334787350103"/>
    <n v="14.973684210526301"/>
    <n v="0.87"/>
    <n v="0.92475463467829899"/>
    <n v="1"/>
    <x v="4"/>
    <x v="1"/>
    <n v="0.85"/>
    <n v="0.8"/>
    <n v="506032.22682660894"/>
  </r>
  <r>
    <s v="2026-02-17"/>
    <s v="Infolinia przychodząca"/>
    <n v="984"/>
    <n v="965"/>
    <n v="19"/>
    <n v="526.18652849740897"/>
    <n v="24.294056308654799"/>
    <n v="0.82000000000000006"/>
    <n v="0.85906735751295304"/>
    <n v="2"/>
    <x v="5"/>
    <x v="1"/>
    <n v="0.85"/>
    <n v="0.8"/>
    <n v="517767.54404145043"/>
  </r>
  <r>
    <s v="2026-02-18"/>
    <s v="Infolinia przychodząca"/>
    <n v="1029"/>
    <n v="994"/>
    <n v="35"/>
    <n v="539.862173038229"/>
    <n v="33.4908906882591"/>
    <n v="0.86"/>
    <n v="0.81187122736418504"/>
    <n v="3"/>
    <x v="6"/>
    <x v="1"/>
    <n v="0.85"/>
    <n v="0.8"/>
    <n v="555518.17605633766"/>
  </r>
  <r>
    <s v="2026-02-19"/>
    <s v="Infolinia przychodząca"/>
    <n v="1019"/>
    <n v="993"/>
    <n v="26"/>
    <n v="522.39476334340395"/>
    <n v="23.6957403651116"/>
    <n v="0.86"/>
    <n v="0.84290030211480405"/>
    <n v="4"/>
    <x v="0"/>
    <x v="1"/>
    <n v="0.85"/>
    <n v="0.8"/>
    <n v="532320.2638469286"/>
  </r>
  <r>
    <s v="2026-02-20"/>
    <s v="Infolinia przychodząca"/>
    <n v="964"/>
    <n v="923"/>
    <n v="41"/>
    <n v="541.39653304442004"/>
    <n v="44.794788273615602"/>
    <n v="0.89"/>
    <n v="0.76489707475623003"/>
    <n v="5"/>
    <x v="1"/>
    <x v="1"/>
    <n v="0.85"/>
    <n v="0.8"/>
    <n v="521906.25785482093"/>
  </r>
  <r>
    <s v="2026-02-21"/>
    <s v="Infolinia przychodząca"/>
    <n v="146"/>
    <n v="137"/>
    <n v="9"/>
    <n v="460.75912408759098"/>
    <n v="24.700729927007298"/>
    <n v="0.86"/>
    <n v="0.88321167883211704"/>
    <n v="6"/>
    <x v="2"/>
    <x v="1"/>
    <n v="0.85"/>
    <n v="0.8"/>
    <n v="67270.832116788282"/>
  </r>
  <r>
    <s v="2026-02-22"/>
    <s v="Infolinia przychodząca"/>
    <n v="115"/>
    <n v="98"/>
    <n v="17"/>
    <n v="522.88775510204096"/>
    <n v="106.89690721649499"/>
    <n v="0.88"/>
    <n v="0.60204081632653095"/>
    <n v="7"/>
    <x v="3"/>
    <x v="1"/>
    <n v="0.85"/>
    <n v="0.8"/>
    <n v="60132.091836734711"/>
  </r>
  <r>
    <s v="2026-02-23"/>
    <s v="Infolinia przychodząca"/>
    <n v="1012"/>
    <n v="1001"/>
    <n v="11"/>
    <n v="529.49850149850101"/>
    <n v="16.127895266868101"/>
    <n v="0.87"/>
    <n v="0.89010989010988995"/>
    <n v="1"/>
    <x v="4"/>
    <x v="1"/>
    <n v="0.85"/>
    <n v="0.8"/>
    <n v="535852.48351648299"/>
  </r>
  <r>
    <s v="2026-02-24"/>
    <s v="Infolinia przychodząca"/>
    <n v="983"/>
    <n v="963"/>
    <n v="20"/>
    <n v="526.31360332294901"/>
    <n v="19.652083333333302"/>
    <n v="0.84000000000000008"/>
    <n v="0.84527518172378002"/>
    <n v="2"/>
    <x v="5"/>
    <x v="1"/>
    <n v="0.85"/>
    <n v="0.8"/>
    <n v="517366.27206645889"/>
  </r>
  <r>
    <s v="2026-02-25"/>
    <s v="Infolinia przychodząca"/>
    <n v="1067"/>
    <n v="1053"/>
    <n v="14"/>
    <n v="524.24976258309596"/>
    <n v="17.8114285714286"/>
    <n v="0.81"/>
    <n v="0.91737891737891697"/>
    <n v="3"/>
    <x v="6"/>
    <x v="1"/>
    <n v="0.85"/>
    <n v="0.8"/>
    <n v="559374.4966761634"/>
  </r>
  <r>
    <s v="2026-02-26"/>
    <s v="Infolinia przychodząca"/>
    <n v="976"/>
    <n v="952"/>
    <n v="24"/>
    <n v="571.197478991597"/>
    <n v="29.019027484143798"/>
    <n v="0.81"/>
    <n v="0.80567226890756305"/>
    <n v="4"/>
    <x v="0"/>
    <x v="1"/>
    <n v="0.85"/>
    <n v="0.8"/>
    <n v="557488.73949579871"/>
  </r>
  <r>
    <s v="2026-02-27"/>
    <s v="Infolinia przychodząca"/>
    <n v="1034"/>
    <n v="989"/>
    <n v="45"/>
    <n v="566.25379170879705"/>
    <n v="39.389623601220798"/>
    <n v="0.85000000000000009"/>
    <n v="0.76643073811931195"/>
    <n v="5"/>
    <x v="1"/>
    <x v="1"/>
    <n v="0.85"/>
    <n v="0.8"/>
    <n v="585506.4206268962"/>
  </r>
  <r>
    <s v="2026-02-28"/>
    <s v="Infolinia przychodząca"/>
    <n v="181"/>
    <n v="111"/>
    <n v="70"/>
    <n v="677.72072072072103"/>
    <n v="297.816513761468"/>
    <n v="0.88"/>
    <n v="0.46846846846846801"/>
    <n v="6"/>
    <x v="2"/>
    <x v="1"/>
    <n v="0.85"/>
    <n v="0.8"/>
    <n v="122667.4504504505"/>
  </r>
  <r>
    <s v="2026-03-01"/>
    <s v="Infolinia przychodząca"/>
    <n v="133"/>
    <n v="122"/>
    <n v="11"/>
    <n v="474.81147540983602"/>
    <n v="104.22499999999999"/>
    <n v="0.86"/>
    <n v="0.64754098360655699"/>
    <n v="7"/>
    <x v="3"/>
    <x v="2"/>
    <n v="0.85"/>
    <n v="0.8"/>
    <n v="63149.926229508194"/>
  </r>
  <r>
    <s v="2026-03-02"/>
    <s v="Infolinia przychodząca"/>
    <n v="1146"/>
    <n v="1102"/>
    <n v="44"/>
    <n v="539.38294010889297"/>
    <n v="54.368036529680403"/>
    <n v="0.82000000000000006"/>
    <n v="0.70598911070780401"/>
    <n v="1"/>
    <x v="4"/>
    <x v="2"/>
    <n v="0.85"/>
    <n v="0.8"/>
    <n v="618132.8493647913"/>
  </r>
  <r>
    <s v="2026-03-03"/>
    <s v="Infolinia przychodząca"/>
    <n v="1395"/>
    <n v="1139"/>
    <n v="256"/>
    <n v="589.76470588235304"/>
    <n v="151.71883289124699"/>
    <n v="0.83000000000000007"/>
    <n v="0.68481123792800702"/>
    <n v="2"/>
    <x v="5"/>
    <x v="2"/>
    <n v="0.85"/>
    <n v="0.8"/>
    <n v="822721.76470588252"/>
  </r>
  <r>
    <s v="2026-03-04"/>
    <s v="Infolinia przychodząca"/>
    <n v="2012"/>
    <n v="1756"/>
    <n v="256"/>
    <n v="570.20956719817798"/>
    <n v="110.594517418618"/>
    <n v="0.88"/>
    <n v="0.47494305239180001"/>
    <n v="3"/>
    <x v="6"/>
    <x v="2"/>
    <n v="0.85"/>
    <n v="0.8"/>
    <n v="1147261.649202734"/>
  </r>
  <r>
    <s v="2026-03-05"/>
    <s v="Infolinia przychodząca"/>
    <n v="1431"/>
    <n v="1340"/>
    <n v="91"/>
    <n v="560.56492537313397"/>
    <n v="55.265413533834597"/>
    <n v="0.82000000000000006"/>
    <n v="0.58805970149253695"/>
    <n v="4"/>
    <x v="0"/>
    <x v="2"/>
    <n v="0.85"/>
    <n v="0.8"/>
    <n v="802168.40820895473"/>
  </r>
  <r>
    <s v="2026-03-06"/>
    <s v="Infolinia przychodząca"/>
    <n v="1245"/>
    <n v="1187"/>
    <n v="58"/>
    <n v="561.20050547598998"/>
    <n v="48.523285351397099"/>
    <n v="0.88"/>
    <n v="0.64532434709351305"/>
    <n v="5"/>
    <x v="1"/>
    <x v="2"/>
    <n v="0.85"/>
    <n v="0.8"/>
    <n v="698694.6293176075"/>
  </r>
  <r>
    <s v="2026-03-07"/>
    <s v="Infolinia przychodząca"/>
    <n v="198"/>
    <n v="145"/>
    <n v="53"/>
    <n v="430.772413793103"/>
    <n v="209.423611111111"/>
    <n v="0.81"/>
    <n v="0.47586206896551703"/>
    <n v="6"/>
    <x v="2"/>
    <x v="2"/>
    <n v="0.85"/>
    <n v="0.8"/>
    <n v="85292.937931034394"/>
  </r>
  <r>
    <s v="2026-03-08"/>
    <s v="Infolinia przychodząca"/>
    <n v="169"/>
    <n v="115"/>
    <n v="54"/>
    <n v="578.70434782608697"/>
    <n v="277.27192982456103"/>
    <n v="0.88"/>
    <n v="0.40869565217391302"/>
    <n v="7"/>
    <x v="3"/>
    <x v="2"/>
    <n v="0.85"/>
    <n v="0.8"/>
    <n v="97801.034782608695"/>
  </r>
  <r>
    <s v="2026-03-09"/>
    <s v="Infolinia przychodząca"/>
    <n v="1402"/>
    <n v="1367"/>
    <n v="35"/>
    <n v="542.98390636430099"/>
    <n v="27.544583640383198"/>
    <n v="0.85000000000000009"/>
    <n v="0.79517190929041703"/>
    <n v="1"/>
    <x v="4"/>
    <x v="2"/>
    <n v="0.85"/>
    <n v="0.8"/>
    <n v="761263.43672274996"/>
  </r>
  <r>
    <s v="2026-03-10"/>
    <s v="Infolinia przychodząca"/>
    <n v="1256"/>
    <n v="1229"/>
    <n v="27"/>
    <n v="551.45565500406803"/>
    <n v="33.6111111111111"/>
    <n v="0.81"/>
    <n v="0.81611065907241698"/>
    <n v="2"/>
    <x v="5"/>
    <x v="2"/>
    <n v="0.85"/>
    <n v="0.8"/>
    <n v="692628.30268510943"/>
  </r>
  <r>
    <s v="2026-03-11"/>
    <s v="Infolinia przychodząca"/>
    <n v="1037"/>
    <n v="1015"/>
    <n v="22"/>
    <n v="541.19113300492597"/>
    <n v="26.627470355731202"/>
    <n v="0.83000000000000007"/>
    <n v="0.86403940886699504"/>
    <n v="3"/>
    <x v="6"/>
    <x v="2"/>
    <n v="0.85"/>
    <n v="0.8"/>
    <n v="561215.20492610824"/>
  </r>
  <r>
    <s v="2026-03-12"/>
    <s v="Infolinia przychodząca"/>
    <n v="1019"/>
    <n v="1001"/>
    <n v="18"/>
    <n v="559.41658341658297"/>
    <n v="19.597597597597598"/>
    <n v="0.82000000000000006"/>
    <n v="0.86913086913086901"/>
    <n v="4"/>
    <x v="0"/>
    <x v="2"/>
    <n v="0.85"/>
    <n v="0.8"/>
    <n v="570045.49850149802"/>
  </r>
  <r>
    <s v="2026-03-13"/>
    <s v="Infolinia przychodząca"/>
    <n v="1007"/>
    <n v="982"/>
    <n v="25"/>
    <n v="528.53360488798398"/>
    <n v="21.325128205128198"/>
    <n v="0.81"/>
    <n v="0.834012219959267"/>
    <n v="5"/>
    <x v="1"/>
    <x v="2"/>
    <n v="0.85"/>
    <n v="0.8"/>
    <n v="532233.34012219985"/>
  </r>
  <r>
    <s v="2026-03-14"/>
    <s v="Infolinia przychodząca"/>
    <n v="166"/>
    <n v="142"/>
    <n v="24"/>
    <n v="466.35211267605598"/>
    <n v="80.589928057554005"/>
    <n v="0.81"/>
    <n v="0.68309859154929597"/>
    <n v="6"/>
    <x v="2"/>
    <x v="2"/>
    <n v="0.85"/>
    <n v="0.8"/>
    <n v="77414.450704225295"/>
  </r>
  <r>
    <s v="2026-03-15"/>
    <s v="Infolinia przychodząca"/>
    <n v="129"/>
    <n v="93"/>
    <n v="36"/>
    <n v="542.96774193548401"/>
    <n v="137.537634408602"/>
    <n v="0.87"/>
    <n v="0.65591397849462396"/>
    <n v="7"/>
    <x v="3"/>
    <x v="2"/>
    <n v="0.85"/>
    <n v="0.8"/>
    <n v="70042.838709677439"/>
  </r>
  <r>
    <s v="2026-03-16"/>
    <s v="Infolinia przychodząca"/>
    <n v="1188"/>
    <n v="1141"/>
    <n v="47"/>
    <n v="551.85626643295404"/>
    <n v="34.880281690140798"/>
    <n v="0.82000000000000006"/>
    <n v="0.79754601226993904"/>
    <n v="1"/>
    <x v="4"/>
    <x v="2"/>
    <n v="0.85"/>
    <n v="0.8"/>
    <n v="655605.24452234944"/>
  </r>
  <r>
    <s v="2026-03-17"/>
    <s v="Infolinia przychodząca"/>
    <n v="1009"/>
    <n v="996"/>
    <n v="13"/>
    <n v="551.47389558232896"/>
    <n v="22.437941473259301"/>
    <n v="0.82000000000000006"/>
    <n v="0.86345381526104403"/>
    <n v="2"/>
    <x v="5"/>
    <x v="2"/>
    <n v="0.85"/>
    <n v="0.8"/>
    <n v="556437.16064256988"/>
  </r>
  <r>
    <s v="2026-03-18"/>
    <s v="Infolinia przychodząca"/>
    <n v="1012"/>
    <n v="978"/>
    <n v="34"/>
    <n v="530.75255623721898"/>
    <n v="36.019547325102899"/>
    <n v="0.85000000000000009"/>
    <n v="0.75971370143149297"/>
    <n v="3"/>
    <x v="6"/>
    <x v="2"/>
    <n v="0.85"/>
    <n v="0.8"/>
    <n v="537121.58691206563"/>
  </r>
  <r>
    <s v="2026-03-19"/>
    <s v="Infolinia przychodząca"/>
    <n v="972"/>
    <n v="950"/>
    <n v="22"/>
    <n v="536.12210526315801"/>
    <n v="27.767268862911799"/>
    <n v="0.82000000000000006"/>
    <n v="0.83368421052631603"/>
    <n v="4"/>
    <x v="0"/>
    <x v="2"/>
    <n v="0.85"/>
    <n v="0.8"/>
    <n v="521110.68631578959"/>
  </r>
  <r>
    <s v="2026-03-20"/>
    <s v="Infolinia przychodząca"/>
    <n v="964"/>
    <n v="932"/>
    <n v="32"/>
    <n v="573.76180257510703"/>
    <n v="31.703225806451599"/>
    <n v="0.85000000000000009"/>
    <n v="0.80793991416308997"/>
    <n v="5"/>
    <x v="1"/>
    <x v="2"/>
    <n v="0.85"/>
    <n v="0.8"/>
    <n v="553106.3776824032"/>
  </r>
  <r>
    <s v="2026-03-21"/>
    <s v="Infolinia przychodząca"/>
    <n v="130"/>
    <n v="118"/>
    <n v="12"/>
    <n v="491.15254237288099"/>
    <n v="100.606837606838"/>
    <n v="0.89"/>
    <n v="0.69491525423728795"/>
    <n v="6"/>
    <x v="2"/>
    <x v="2"/>
    <n v="0.85"/>
    <n v="0.8"/>
    <n v="63849.83050847453"/>
  </r>
  <r>
    <s v="2026-03-22"/>
    <s v="Infolinia przychodząca"/>
    <n v="96"/>
    <n v="85"/>
    <n v="11"/>
    <n v="426.85882352941201"/>
    <n v="92.240963855421697"/>
    <n v="0.89"/>
    <n v="0.67058823529411804"/>
    <n v="7"/>
    <x v="3"/>
    <x v="2"/>
    <n v="0.85"/>
    <n v="0.8"/>
    <n v="40978.447058823556"/>
  </r>
  <r>
    <s v="2026-03-23"/>
    <s v="Infolinia przychodząca"/>
    <n v="888"/>
    <n v="864"/>
    <n v="24"/>
    <n v="535.774305555556"/>
    <n v="17.742724097788098"/>
    <n v="0.81"/>
    <n v="0.87037037037037002"/>
    <n v="1"/>
    <x v="4"/>
    <x v="2"/>
    <n v="0.85"/>
    <n v="0.8"/>
    <n v="475767.58333333372"/>
  </r>
  <r>
    <s v="2026-03-24"/>
    <s v="Infolinia przychodząca"/>
    <n v="931"/>
    <n v="913"/>
    <n v="18"/>
    <n v="543.67907995618805"/>
    <n v="24.828004410143301"/>
    <n v="0.88"/>
    <n v="0.81599123767798498"/>
    <n v="2"/>
    <x v="5"/>
    <x v="2"/>
    <n v="0.85"/>
    <n v="0.8"/>
    <n v="506165.22343921108"/>
  </r>
  <r>
    <s v="2026-03-25"/>
    <s v="Infolinia przychodząca"/>
    <n v="922"/>
    <n v="898"/>
    <n v="24"/>
    <n v="533.35412026726101"/>
    <n v="31.180493273542599"/>
    <n v="0.81"/>
    <n v="0.76837416481068999"/>
    <n v="3"/>
    <x v="6"/>
    <x v="2"/>
    <n v="0.85"/>
    <n v="0.8"/>
    <n v="491752.49888641463"/>
  </r>
  <r>
    <s v="2026-03-26"/>
    <s v="Infolinia przychodząca"/>
    <n v="965"/>
    <n v="927"/>
    <n v="38"/>
    <n v="537.08522114347397"/>
    <n v="29.865363735070598"/>
    <n v="0.89"/>
    <n v="0.75728155339805803"/>
    <n v="4"/>
    <x v="0"/>
    <x v="2"/>
    <n v="0.85"/>
    <n v="0.8"/>
    <n v="518287.23840345239"/>
  </r>
  <r>
    <s v="2026-03-27"/>
    <s v="Infolinia przychodząca"/>
    <n v="779"/>
    <n v="770"/>
    <n v="9"/>
    <n v="570.73246753246804"/>
    <n v="17.797650130548298"/>
    <n v="0.82000000000000006"/>
    <n v="0.84415584415584399"/>
    <n v="5"/>
    <x v="1"/>
    <x v="2"/>
    <n v="0.85"/>
    <n v="0.8"/>
    <n v="444600.59220779262"/>
  </r>
  <r>
    <s v="2026-03-28"/>
    <s v="Infolinia przychodząca"/>
    <n v="169"/>
    <n v="128"/>
    <n v="41"/>
    <n v="587.7265625"/>
    <n v="181.420634920635"/>
    <n v="0.88"/>
    <n v="0.5390625"/>
    <n v="6"/>
    <x v="2"/>
    <x v="2"/>
    <n v="0.85"/>
    <n v="0.8"/>
    <n v="99325.7890625"/>
  </r>
  <r>
    <s v="2026-03-29"/>
    <s v="Infolinia przychodząca"/>
    <n v="86"/>
    <n v="81"/>
    <n v="5"/>
    <n v="394.40740740740699"/>
    <n v="66.839506172839506"/>
    <n v="0.85000000000000009"/>
    <n v="0.77777777777777801"/>
    <n v="7"/>
    <x v="3"/>
    <x v="2"/>
    <n v="0.85"/>
    <n v="0.8"/>
    <n v="33919.037037037"/>
  </r>
  <r>
    <s v="2026-03-30"/>
    <s v="Infolinia przychodząca"/>
    <n v="1104"/>
    <n v="1055"/>
    <n v="49"/>
    <n v="551.45023696682495"/>
    <n v="47.683206106870202"/>
    <n v="0.83000000000000007"/>
    <n v="0.79052132701421796"/>
    <n v="1"/>
    <x v="4"/>
    <x v="2"/>
    <n v="0.85"/>
    <n v="0.8"/>
    <n v="608801.06161137472"/>
  </r>
  <r>
    <s v="2026-03-31"/>
    <s v="Infolinia przychodząca"/>
    <n v="1166"/>
    <n v="1089"/>
    <n v="77"/>
    <n v="562.48484848484804"/>
    <n v="69.385899814471202"/>
    <n v="0.85000000000000009"/>
    <n v="0.62167125803489398"/>
    <n v="2"/>
    <x v="5"/>
    <x v="2"/>
    <n v="0.85"/>
    <n v="0.8"/>
    <n v="655857.33333333279"/>
  </r>
  <r>
    <s v="2026-04-01"/>
    <s v="Infolinia przychodząca"/>
    <n v="1028"/>
    <n v="1008"/>
    <n v="20"/>
    <n v="564.18353174603203"/>
    <n v="20.1586826347305"/>
    <n v="0.87"/>
    <n v="0.83531746031746001"/>
    <n v="3"/>
    <x v="6"/>
    <x v="3"/>
    <n v="0.85"/>
    <n v="0.8"/>
    <n v="579980.67063492094"/>
  </r>
  <r>
    <s v="2026-04-02"/>
    <s v="Infolinia przychodząca"/>
    <n v="969"/>
    <n v="936"/>
    <n v="33"/>
    <n v="507.34294871794901"/>
    <n v="27.192680301399399"/>
    <n v="0.82000000000000006"/>
    <n v="0.81730769230769196"/>
    <n v="4"/>
    <x v="0"/>
    <x v="3"/>
    <n v="0.85"/>
    <n v="0.8"/>
    <n v="491615.3173076926"/>
  </r>
  <r>
    <s v="2026-04-03"/>
    <s v="Infolinia przychodząca"/>
    <n v="703"/>
    <n v="692"/>
    <n v="11"/>
    <n v="497.05057803468202"/>
    <n v="13.3255813953488"/>
    <n v="0.81"/>
    <n v="0.93208092485549099"/>
    <n v="5"/>
    <x v="1"/>
    <x v="3"/>
    <n v="0.85"/>
    <n v="0.8"/>
    <n v="349426.55635838147"/>
  </r>
  <r>
    <s v="2026-04-04"/>
    <s v="Infolinia przychodząca"/>
    <n v="111"/>
    <n v="105"/>
    <n v="6"/>
    <n v="435.57142857142901"/>
    <n v="50.378640776699001"/>
    <n v="0.84000000000000008"/>
    <n v="0.790476190476191"/>
    <n v="6"/>
    <x v="2"/>
    <x v="3"/>
    <n v="0.85"/>
    <n v="0.8"/>
    <n v="48348.428571428623"/>
  </r>
  <r>
    <s v="2026-04-05"/>
    <s v="Infolinia przychodząca"/>
    <n v="51"/>
    <n v="47"/>
    <n v="4"/>
    <n v="404.44680851063799"/>
    <n v="21.638297872340399"/>
    <n v="0.88"/>
    <n v="0.87234042553191504"/>
    <n v="7"/>
    <x v="3"/>
    <x v="3"/>
    <n v="0.85"/>
    <n v="0.8"/>
    <n v="20626.787234042538"/>
  </r>
  <r>
    <s v="2026-04-06"/>
    <s v="Infolinia przychodząca"/>
    <n v="93"/>
    <n v="76"/>
    <n v="17"/>
    <n v="378.43421052631601"/>
    <n v="69.447368421052602"/>
    <n v="0.86"/>
    <n v="0.75"/>
    <n v="1"/>
    <x v="4"/>
    <x v="3"/>
    <n v="0.85"/>
    <n v="0.8"/>
    <n v="35194.381578947388"/>
  </r>
  <r>
    <s v="2026-04-07"/>
    <s v="Infolinia przychodząca"/>
    <n v="1120"/>
    <n v="1083"/>
    <n v="37"/>
    <n v="536.40812557710103"/>
    <n v="38.008372093023297"/>
    <n v="0.88"/>
    <n v="0.77654662973222499"/>
    <n v="2"/>
    <x v="5"/>
    <x v="3"/>
    <n v="0.85"/>
    <n v="0.8"/>
    <n v="600777.10064635321"/>
  </r>
  <r>
    <s v="2026-04-08"/>
    <s v="Infolinia przychodząca"/>
    <n v="1108"/>
    <n v="1068"/>
    <n v="40"/>
    <n v="542.32865168539297"/>
    <n v="29.883568075117399"/>
    <n v="0.89"/>
    <n v="0.80337078651685401"/>
    <n v="3"/>
    <x v="6"/>
    <x v="3"/>
    <n v="0.85"/>
    <n v="0.8"/>
    <n v="600900.14606741536"/>
  </r>
  <r>
    <s v="2026-04-09"/>
    <s v="Infolinia przychodząca"/>
    <n v="1172"/>
    <n v="1078"/>
    <n v="94"/>
    <n v="509.86734693877497"/>
    <n v="45.376283846872099"/>
    <n v="0.87"/>
    <n v="0.72541743970315398"/>
    <n v="4"/>
    <x v="0"/>
    <x v="3"/>
    <n v="0.85"/>
    <n v="0.8"/>
    <n v="597564.53061224427"/>
  </r>
  <r>
    <s v="2026-04-10"/>
    <s v="Infolinia przychodząca"/>
    <n v="961"/>
    <n v="937"/>
    <n v="24"/>
    <n v="503.56883671291399"/>
    <n v="21.649141630901301"/>
    <n v="0.89"/>
    <n v="0.83884738527214497"/>
    <n v="5"/>
    <x v="1"/>
    <x v="3"/>
    <n v="0.85"/>
    <n v="0.8"/>
    <n v="483929.65208111034"/>
  </r>
  <r>
    <s v="2026-04-11"/>
    <s v="Infolinia przychodząca"/>
    <n v="179"/>
    <n v="146"/>
    <n v="33"/>
    <n v="521.72602739726005"/>
    <n v="100.383561643836"/>
    <n v="0.86"/>
    <n v="0.62328767123287698"/>
    <n v="6"/>
    <x v="2"/>
    <x v="3"/>
    <n v="0.85"/>
    <n v="0.8"/>
    <n v="93388.958904109546"/>
  </r>
  <r>
    <s v="2026-04-12"/>
    <s v="Infolinia przychodząca"/>
    <n v="119"/>
    <n v="98"/>
    <n v="21"/>
    <n v="449.27551020408202"/>
    <n v="169.432989690722"/>
    <n v="0.83000000000000007"/>
    <n v="0.65306122448979598"/>
    <n v="7"/>
    <x v="3"/>
    <x v="3"/>
    <n v="0.85"/>
    <n v="0.8"/>
    <n v="53463.785714285761"/>
  </r>
  <r>
    <s v="2026-04-13"/>
    <s v="Infolinia przychodząca"/>
    <n v="1134"/>
    <n v="1089"/>
    <n v="45"/>
    <n v="524.55280073461904"/>
    <n v="26.9926199261993"/>
    <n v="0.84000000000000008"/>
    <n v="0.80073461891643705"/>
    <n v="1"/>
    <x v="4"/>
    <x v="3"/>
    <n v="0.85"/>
    <n v="0.8"/>
    <n v="594842.87603305804"/>
  </r>
  <r>
    <s v="2026-04-14"/>
    <s v="Infolinia przychodząca"/>
    <n v="1226"/>
    <n v="1128"/>
    <n v="98"/>
    <n v="516.54787234042601"/>
    <n v="61.123104371097199"/>
    <n v="0.88"/>
    <n v="0.64273049645390101"/>
    <n v="2"/>
    <x v="5"/>
    <x v="3"/>
    <n v="0.85"/>
    <n v="0.8"/>
    <n v="633287.69148936227"/>
  </r>
  <r>
    <s v="2026-04-15"/>
    <s v="Infolinia przychodząca"/>
    <n v="1017"/>
    <n v="991"/>
    <n v="26"/>
    <n v="534.76992936427803"/>
    <n v="17.153380423814301"/>
    <n v="0.89"/>
    <n v="0.84460141271443001"/>
    <n v="3"/>
    <x v="6"/>
    <x v="3"/>
    <n v="0.85"/>
    <n v="0.8"/>
    <n v="543861.01816347078"/>
  </r>
  <r>
    <s v="2026-04-16"/>
    <s v="Infolinia przychodząca"/>
    <n v="994"/>
    <n v="969"/>
    <n v="25"/>
    <n v="532.64602683178498"/>
    <n v="21.259067357513"/>
    <n v="0.89"/>
    <n v="0.84107327141382904"/>
    <n v="4"/>
    <x v="0"/>
    <x v="3"/>
    <n v="0.85"/>
    <n v="0.8"/>
    <n v="529450.1506707943"/>
  </r>
  <r>
    <s v="2026-04-17"/>
    <s v="Infolinia przychodząca"/>
    <n v="804"/>
    <n v="784"/>
    <n v="20"/>
    <n v="563.36607142857099"/>
    <n v="20.359795134443001"/>
    <n v="0.84000000000000008"/>
    <n v="0.87117346938775497"/>
    <n v="5"/>
    <x v="1"/>
    <x v="3"/>
    <n v="0.85"/>
    <n v="0.8"/>
    <n v="452946.32142857107"/>
  </r>
  <r>
    <s v="2026-04-18"/>
    <s v="Infolinia przychodząca"/>
    <n v="133"/>
    <n v="125"/>
    <n v="8"/>
    <n v="358.59199999999998"/>
    <n v="63.254098360655703"/>
    <n v="0.81"/>
    <n v="0.70399999999999996"/>
    <n v="6"/>
    <x v="2"/>
    <x v="3"/>
    <n v="0.85"/>
    <n v="0.8"/>
    <n v="47692.735999999997"/>
  </r>
  <r>
    <s v="2026-04-19"/>
    <s v="Infolinia przychodząca"/>
    <n v="127"/>
    <n v="115"/>
    <n v="12"/>
    <n v="292.21739130434798"/>
    <n v="55.339130434782597"/>
    <n v="0.83000000000000007"/>
    <n v="0.75652173913043497"/>
    <n v="7"/>
    <x v="3"/>
    <x v="3"/>
    <n v="0.85"/>
    <n v="0.8"/>
    <n v="37111.60869565219"/>
  </r>
  <r>
    <s v="2026-04-20"/>
    <s v="Infolinia przychodząca"/>
    <n v="1208"/>
    <n v="1142"/>
    <n v="66"/>
    <n v="537.50700525393995"/>
    <n v="34.2877316857899"/>
    <n v="0.87"/>
    <n v="0.79772329246935203"/>
    <n v="1"/>
    <x v="4"/>
    <x v="3"/>
    <n v="0.85"/>
    <n v="0.8"/>
    <n v="649308.46234675951"/>
  </r>
  <r>
    <s v="2026-04-21"/>
    <s v="Infolinia przychodząca"/>
    <n v="920"/>
    <n v="909"/>
    <n v="11"/>
    <n v="554.25852585258497"/>
    <n v="23.492204899777299"/>
    <n v="0.86"/>
    <n v="0.83718371837183703"/>
    <n v="2"/>
    <x v="5"/>
    <x v="3"/>
    <n v="0.85"/>
    <n v="0.8"/>
    <n v="509917.84378437814"/>
  </r>
  <r>
    <s v="2026-04-22"/>
    <s v="Infolinia przychodząca"/>
    <n v="964"/>
    <n v="933"/>
    <n v="31"/>
    <n v="515.83065380492997"/>
    <n v="34.1666666666667"/>
    <n v="0.82000000000000006"/>
    <n v="0.78456591639871398"/>
    <n v="3"/>
    <x v="6"/>
    <x v="3"/>
    <n v="0.85"/>
    <n v="0.8"/>
    <n v="497260.75026795251"/>
  </r>
  <r>
    <s v="2026-04-23"/>
    <s v="Infolinia przychodząca"/>
    <n v="955"/>
    <n v="923"/>
    <n v="32"/>
    <n v="558.60021668472405"/>
    <n v="21.162280701754401"/>
    <n v="0.81"/>
    <n v="0.83098591549295797"/>
    <n v="4"/>
    <x v="0"/>
    <x v="3"/>
    <n v="0.85"/>
    <n v="0.8"/>
    <n v="533463.20693391142"/>
  </r>
  <r>
    <s v="2026-04-24"/>
    <s v="Infolinia przychodząca"/>
    <n v="907"/>
    <n v="883"/>
    <n v="24"/>
    <n v="519.35560588901501"/>
    <n v="31.7667804323094"/>
    <n v="0.89"/>
    <n v="0.83012457531143802"/>
    <n v="5"/>
    <x v="1"/>
    <x v="3"/>
    <n v="0.85"/>
    <n v="0.8"/>
    <n v="471055.53454133659"/>
  </r>
  <r>
    <s v="2026-04-25"/>
    <s v="Infolinia przychodząca"/>
    <n v="144"/>
    <n v="132"/>
    <n v="12"/>
    <n v="545.030303030303"/>
    <n v="72.854961832061093"/>
    <n v="0.87"/>
    <n v="0.70454545454545503"/>
    <n v="6"/>
    <x v="2"/>
    <x v="3"/>
    <n v="0.85"/>
    <n v="0.8"/>
    <n v="78484.363636363632"/>
  </r>
  <r>
    <s v="2026-04-26"/>
    <s v="Infolinia przychodząca"/>
    <n v="116"/>
    <n v="107"/>
    <n v="9"/>
    <n v="404.831775700935"/>
    <n v="53.5"/>
    <n v="0.81"/>
    <n v="0.82242990654205606"/>
    <n v="7"/>
    <x v="3"/>
    <x v="3"/>
    <n v="0.85"/>
    <n v="0.8"/>
    <n v="46960.485981308462"/>
  </r>
  <r>
    <s v="2026-04-27"/>
    <s v="Infolinia przychodząca"/>
    <n v="1083"/>
    <n v="1020"/>
    <n v="63"/>
    <n v="524.30784313725496"/>
    <n v="50.075173095944599"/>
    <n v="0.85000000000000009"/>
    <n v="0.69803921568627503"/>
    <n v="1"/>
    <x v="4"/>
    <x v="3"/>
    <n v="0.85"/>
    <n v="0.8"/>
    <n v="567825.39411764708"/>
  </r>
  <r>
    <s v="2026-04-28"/>
    <s v="Infolinia przychodząca"/>
    <n v="964"/>
    <n v="933"/>
    <n v="31"/>
    <n v="577.41693461950695"/>
    <n v="24.556634304207101"/>
    <n v="0.86"/>
    <n v="0.83279742765273301"/>
    <n v="2"/>
    <x v="5"/>
    <x v="3"/>
    <n v="0.85"/>
    <n v="0.8"/>
    <n v="556629.92497320473"/>
  </r>
  <r>
    <s v="2026-04-29"/>
    <s v="Infolinia przychodząca"/>
    <n v="1080"/>
    <n v="1012"/>
    <n v="68"/>
    <n v="563.73122529644297"/>
    <n v="55.890873015872998"/>
    <n v="0.84000000000000008"/>
    <n v="0.66007905138339895"/>
    <n v="3"/>
    <x v="6"/>
    <x v="3"/>
    <n v="0.85"/>
    <n v="0.8"/>
    <n v="608829.72332015843"/>
  </r>
  <r>
    <s v="2026-04-30"/>
    <s v="Infolinia przychodząca"/>
    <n v="1088"/>
    <n v="1003"/>
    <n v="85"/>
    <n v="572.73778664008"/>
    <n v="62.634999999999998"/>
    <n v="0.82000000000000006"/>
    <n v="0.65503489531405801"/>
    <n v="4"/>
    <x v="0"/>
    <x v="3"/>
    <n v="0.85"/>
    <n v="0.8"/>
    <n v="623138.71186440706"/>
  </r>
  <r>
    <s v="2026-05-01"/>
    <s v="Infolinia przychodząca"/>
    <n v="125"/>
    <n v="119"/>
    <n v="6"/>
    <n v="464.52100840336101"/>
    <n v="28.554621848739501"/>
    <n v="0.89"/>
    <n v="0.82352941176470595"/>
    <n v="5"/>
    <x v="1"/>
    <x v="4"/>
    <n v="0.85"/>
    <n v="0.8"/>
    <n v="58065.126050420127"/>
  </r>
  <r>
    <s v="2026-05-02"/>
    <s v="Infolinia przychodząca"/>
    <n v="98"/>
    <n v="93"/>
    <n v="5"/>
    <n v="449.20430107526897"/>
    <n v="32.714285714285701"/>
    <n v="0.83000000000000007"/>
    <n v="0.82795698924731198"/>
    <n v="6"/>
    <x v="2"/>
    <x v="4"/>
    <n v="0.85"/>
    <n v="0.8"/>
    <n v="44022.02150537636"/>
  </r>
  <r>
    <s v="2026-05-03"/>
    <s v="Infolinia przychodząca"/>
    <n v="85"/>
    <n v="82"/>
    <n v="3"/>
    <n v="451.82926829268303"/>
    <n v="35.148148148148103"/>
    <n v="0.86"/>
    <n v="0.86585365853658502"/>
    <n v="7"/>
    <x v="3"/>
    <x v="4"/>
    <n v="0.85"/>
    <n v="0.8"/>
    <n v="38405.487804878059"/>
  </r>
  <r>
    <s v="2026-05-04"/>
    <s v="Infolinia przychodząca"/>
    <n v="1410"/>
    <n v="1376"/>
    <n v="34"/>
    <n v="569.74781976744202"/>
    <n v="25.637226277372299"/>
    <n v="0.87"/>
    <n v="0.79215116279069797"/>
    <n v="1"/>
    <x v="4"/>
    <x v="4"/>
    <n v="0.85"/>
    <n v="0.8"/>
    <n v="803344.4258720933"/>
  </r>
  <r>
    <s v="2026-05-05"/>
    <s v="Infolinia przychodząca"/>
    <n v="1214"/>
    <n v="1175"/>
    <n v="39"/>
    <n v="599.55063829787196"/>
    <n v="33.112061591103497"/>
    <n v="0.87"/>
    <n v="0.78723404255319196"/>
    <n v="2"/>
    <x v="5"/>
    <x v="4"/>
    <n v="0.85"/>
    <n v="0.8"/>
    <n v="727854.47489361651"/>
  </r>
  <r>
    <s v="2026-05-06"/>
    <s v="Infolinia przychodząca"/>
    <n v="1114"/>
    <n v="1094"/>
    <n v="20"/>
    <n v="570.88391224862903"/>
    <n v="25.1495844875346"/>
    <n v="0.83000000000000007"/>
    <n v="0.84552102376599603"/>
    <n v="3"/>
    <x v="6"/>
    <x v="4"/>
    <n v="0.85"/>
    <n v="0.8"/>
    <n v="635964.67824497272"/>
  </r>
  <r>
    <s v="2026-05-07"/>
    <s v="Infolinia przychodząca"/>
    <n v="1195"/>
    <n v="1167"/>
    <n v="28"/>
    <n v="603.31276778063398"/>
    <n v="24.8584987057808"/>
    <n v="0.85000000000000009"/>
    <n v="0.83976006855184204"/>
    <n v="4"/>
    <x v="0"/>
    <x v="4"/>
    <n v="0.85"/>
    <n v="0.8"/>
    <n v="720958.75749785756"/>
  </r>
  <r>
    <s v="2026-05-08"/>
    <s v="Infolinia przychodząca"/>
    <n v="1170"/>
    <n v="1114"/>
    <n v="56"/>
    <n v="584.87432675044897"/>
    <n v="34.827461607949402"/>
    <n v="0.84000000000000008"/>
    <n v="0.71633752244165205"/>
    <n v="5"/>
    <x v="1"/>
    <x v="4"/>
    <n v="0.85"/>
    <n v="0.8"/>
    <n v="684302.96229802526"/>
  </r>
  <r>
    <s v="2026-05-09"/>
    <s v="Infolinia przychodząca"/>
    <n v="171"/>
    <n v="157"/>
    <n v="14"/>
    <n v="380.69426751592403"/>
    <n v="53.748387096774202"/>
    <n v="0.83000000000000007"/>
    <n v="0.68152866242038201"/>
    <n v="6"/>
    <x v="2"/>
    <x v="4"/>
    <n v="0.85"/>
    <n v="0.8"/>
    <n v="65098.71974522301"/>
  </r>
  <r>
    <s v="2026-05-10"/>
    <s v="Infolinia przychodząca"/>
    <n v="95"/>
    <n v="86"/>
    <n v="9"/>
    <n v="422.90697674418601"/>
    <n v="42.047058823529397"/>
    <n v="0.83000000000000007"/>
    <n v="0.84883720930232598"/>
    <n v="7"/>
    <x v="3"/>
    <x v="4"/>
    <n v="0.85"/>
    <n v="0.8"/>
    <n v="40176.162790697672"/>
  </r>
  <r>
    <s v="2026-05-11"/>
    <s v="Infolinia przychodząca"/>
    <n v="1240"/>
    <n v="1141"/>
    <n v="99"/>
    <n v="558.18930762489003"/>
    <n v="70.396475770925093"/>
    <n v="0.83000000000000007"/>
    <n v="0.621384750219106"/>
    <n v="1"/>
    <x v="4"/>
    <x v="4"/>
    <n v="0.85"/>
    <n v="0.8"/>
    <n v="692154.74145486369"/>
  </r>
  <r>
    <s v="2026-05-12"/>
    <s v="Infolinia przychodząca"/>
    <n v="1116"/>
    <n v="1075"/>
    <n v="41"/>
    <n v="587.982325581395"/>
    <n v="31.932710280373801"/>
    <n v="0.82000000000000006"/>
    <n v="0.75534883720930202"/>
    <n v="2"/>
    <x v="5"/>
    <x v="4"/>
    <n v="0.85"/>
    <n v="0.8"/>
    <n v="656188.27534883679"/>
  </r>
  <r>
    <s v="2026-05-13"/>
    <s v="Infolinia przychodząca"/>
    <n v="1019"/>
    <n v="996"/>
    <n v="23"/>
    <n v="554.35843373494004"/>
    <n v="23.4196157735086"/>
    <n v="0.87"/>
    <n v="0.865461847389558"/>
    <n v="3"/>
    <x v="6"/>
    <x v="4"/>
    <n v="0.85"/>
    <n v="0.8"/>
    <n v="564891.24397590384"/>
  </r>
  <r>
    <s v="2026-05-14"/>
    <s v="Infolinia przychodząca"/>
    <n v="944"/>
    <n v="924"/>
    <n v="20"/>
    <n v="548.38203463203502"/>
    <n v="23.249455337690598"/>
    <n v="0.87"/>
    <n v="0.87121212121212099"/>
    <n v="4"/>
    <x v="0"/>
    <x v="4"/>
    <n v="0.85"/>
    <n v="0.8"/>
    <n v="517672.64069264103"/>
  </r>
  <r>
    <s v="2026-05-15"/>
    <s v="Infolinia przychodząca"/>
    <n v="968"/>
    <n v="925"/>
    <n v="43"/>
    <n v="565.504864864865"/>
    <n v="39.962922573609603"/>
    <n v="0.86"/>
    <n v="0.74378378378378396"/>
    <n v="5"/>
    <x v="1"/>
    <x v="4"/>
    <n v="0.85"/>
    <n v="0.8"/>
    <n v="547408.70918918937"/>
  </r>
  <r>
    <s v="2026-05-16"/>
    <s v="Infolinia przychodząca"/>
    <n v="162"/>
    <n v="137"/>
    <n v="25"/>
    <n v="546.13868613138698"/>
    <n v="83.233576642335805"/>
    <n v="0.83000000000000007"/>
    <n v="0.59854014598540195"/>
    <n v="6"/>
    <x v="2"/>
    <x v="4"/>
    <n v="0.85"/>
    <n v="0.8"/>
    <n v="88474.467153284684"/>
  </r>
  <r>
    <s v="2026-05-17"/>
    <s v="Infolinia przychodząca"/>
    <n v="130"/>
    <n v="112"/>
    <n v="18"/>
    <n v="347.482142857143"/>
    <n v="118.53571428571399"/>
    <n v="0.89"/>
    <n v="0.59821428571428603"/>
    <n v="7"/>
    <x v="3"/>
    <x v="4"/>
    <n v="0.85"/>
    <n v="0.8"/>
    <n v="45172.678571428587"/>
  </r>
  <r>
    <m/>
    <m/>
    <m/>
    <m/>
    <m/>
    <n v="544.34911242603596"/>
    <n v="20.758654797230498"/>
    <n v="0.89"/>
    <n v="0.866863905325444"/>
    <n v="6"/>
    <x v="2"/>
    <x v="0"/>
    <n v="0.85"/>
    <n v="0.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EC0B2D-4517-4C5F-A330-10401DF55C97}" name="Tabela przestawna4" cacheId="0" applyNumberFormats="0" applyBorderFormats="0" applyFontFormats="0" applyPatternFormats="0" applyAlignmentFormats="0" applyWidthHeightFormats="1" dataCaption="Wartości" updatedVersion="8" minRefreshableVersion="3" useAutoFormatting="1" rowGrandTotals="0" itemPrintTitles="1" createdVersion="8" indent="0" outline="1" outlineData="1" multipleFieldFilters="0">
  <location ref="A23:G31" firstHeaderRow="1" firstDataRow="2" firstDataCol="1"/>
  <pivotFields count="16">
    <pivotField showAll="0"/>
    <pivotField showAll="0"/>
    <pivotField dataField="1" showAll="0"/>
    <pivotField showAll="0"/>
    <pivotField showAll="0"/>
    <pivotField numFmtId="164" showAll="0"/>
    <pivotField numFmtId="164" showAll="0"/>
    <pivotField numFmtId="9" showAll="0"/>
    <pivotField numFmtId="10" showAll="0"/>
    <pivotField showAll="0"/>
    <pivotField axis="axisRow" showAll="0">
      <items count="8">
        <item x="4"/>
        <item x="5"/>
        <item x="6"/>
        <item x="0"/>
        <item x="1"/>
        <item x="2"/>
        <item x="3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numFmtId="9" showAll="0"/>
    <pivotField numFmtId="9" showAll="0"/>
    <pivotField showAll="0"/>
    <pivotField dragToRow="0" dragToCol="0" dragToPage="0" showAll="0" defaultSubtota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Średnia z Połączenia przychodzące" fld="2" subtotal="average" baseField="10" baseItem="0"/>
  </dataField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8CE862-D5D3-4C51-91B5-C3E017F09AB6}" name="Wolumen vs AHT w dniach tygodnia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1">
  <location ref="A12:C20" firstHeaderRow="0" firstDataRow="1" firstDataCol="1"/>
  <pivotFields count="16">
    <pivotField showAll="0"/>
    <pivotField showAll="0"/>
    <pivotField dataField="1" showAll="0"/>
    <pivotField showAll="0"/>
    <pivotField showAll="0"/>
    <pivotField dataField="1" numFmtId="164" showAll="0"/>
    <pivotField numFmtId="164" showAll="0"/>
    <pivotField showAll="0"/>
    <pivotField numFmtId="10" showAll="0"/>
    <pivotField showAll="0"/>
    <pivotField axis="axisRow" showAll="0">
      <items count="8">
        <item x="4"/>
        <item x="5"/>
        <item x="6"/>
        <item x="0"/>
        <item x="1"/>
        <item x="2"/>
        <item x="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numFmtId="9" showAll="0"/>
    <pivotField numFmtId="9" showAll="0"/>
    <pivotField showAll="0"/>
    <pivotField dragToRow="0" dragToCol="0" dragToPage="0" showAll="0" defaultSubtota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Wolumen" fld="2" subtotal="average" baseField="9" baseItem="0" numFmtId="2"/>
    <dataField name="Średnia z Czasu obsługi" fld="5" subtotal="average" baseField="10" baseItem="0" numFmtId="164"/>
  </dataFields>
  <formats count="1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3"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D85347-93A3-4F4A-A2A8-FFDC0E7C033D}" name="Realizacja celów jakościowych (SLA i FCR)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1">
  <location ref="A1:E9" firstHeaderRow="0" firstDataRow="1" firstDataCol="1"/>
  <pivotFields count="16">
    <pivotField showAll="0"/>
    <pivotField showAll="0"/>
    <pivotField showAll="0"/>
    <pivotField showAll="0"/>
    <pivotField showAll="0"/>
    <pivotField numFmtId="164" showAll="0"/>
    <pivotField numFmtId="164" showAll="0"/>
    <pivotField dataField="1" showAll="0"/>
    <pivotField dataField="1" numFmtId="10" showAll="0"/>
    <pivotField showAll="0"/>
    <pivotField axis="axisRow" showAll="0">
      <items count="8">
        <item x="4"/>
        <item x="5"/>
        <item x="6"/>
        <item x="0"/>
        <item x="1"/>
        <item x="2"/>
        <item x="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dataField="1" numFmtId="9" showAll="0"/>
    <pivotField dataField="1" numFmtId="9" showAll="0"/>
    <pivotField showAll="0"/>
    <pivotField dragToRow="0" dragToCol="0" dragToPage="0" showAll="0" defaultSubtota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Średnia z FCR" fld="7" subtotal="average" baseField="10" baseItem="0" numFmtId="10"/>
    <dataField name="Średnia z SLA" fld="8" subtotal="average" baseField="0" baseItem="0" numFmtId="10"/>
    <dataField name="Cel_FCR" fld="12" subtotal="average" baseField="0" baseItem="0" numFmtId="9"/>
    <dataField name="Cel_SLA" fld="13" subtotal="average" baseField="0" baseItem="0" numFmtId="9"/>
  </dataFields>
  <formats count="1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5"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1166EB-551E-4412-AFEC-3384416C6261}" name="Tabela przestawna6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6">
  <location ref="A43:C51" firstHeaderRow="0" firstDataRow="1" firstDataCol="1"/>
  <pivotFields count="16">
    <pivotField showAll="0"/>
    <pivotField showAll="0"/>
    <pivotField showAll="0"/>
    <pivotField showAll="0"/>
    <pivotField showAll="0"/>
    <pivotField numFmtId="164" showAll="0"/>
    <pivotField numFmtId="164" showAll="0"/>
    <pivotField numFmtId="9" showAll="0"/>
    <pivotField dataField="1" numFmtId="10" showAll="0"/>
    <pivotField showAll="0"/>
    <pivotField axis="axisRow" showAll="0">
      <items count="8">
        <item x="4"/>
        <item x="5"/>
        <item x="6"/>
        <item x="0"/>
        <item x="1"/>
        <item x="2"/>
        <item x="3"/>
        <item t="default"/>
      </items>
    </pivotField>
    <pivotField showAll="0"/>
    <pivotField numFmtId="9" showAll="0"/>
    <pivotField numFmtId="9" showAll="0"/>
    <pivotField showAll="0"/>
    <pivotField dataField="1" dragToRow="0" dragToCol="0" dragToPage="0" showAll="0" defaultSubtota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godzin pracy" fld="15" baseField="0" baseItem="0"/>
    <dataField name="Średnia z SLA" fld="8" subtotal="average" baseField="10" baseItem="1" numFmtId="10"/>
  </dataFields>
  <formats count="1">
    <format dxfId="2">
      <pivotArea outline="0" collapsedLevelsAreSubtotals="1" fieldPosition="0"/>
    </format>
  </formats>
  <chartFormats count="2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857FE6-DAB6-4C29-8072-F7FE87EFB054}" name="Tabela przestawna5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4:C40" firstHeaderRow="0" firstDataRow="1" firstDataCol="1"/>
  <pivotFields count="16">
    <pivotField showAll="0"/>
    <pivotField showAll="0"/>
    <pivotField dataField="1" showAll="0"/>
    <pivotField showAll="0"/>
    <pivotField showAll="0"/>
    <pivotField numFmtId="164" showAll="0"/>
    <pivotField numFmtId="164" showAll="0"/>
    <pivotField numFmtId="9" showAll="0"/>
    <pivotField dataField="1" numFmtId="10" showAll="0"/>
    <pivotField showAll="0"/>
    <pivotField axis="axisRow" showAll="0">
      <items count="8">
        <item x="4"/>
        <item x="5"/>
        <item x="6"/>
        <item x="0"/>
        <item x="1"/>
        <item h="1" x="2"/>
        <item h="1" x="3"/>
        <item t="default"/>
      </items>
    </pivotField>
    <pivotField showAll="0"/>
    <pivotField numFmtId="9" showAll="0"/>
    <pivotField numFmtId="9" showAll="0"/>
    <pivotField showAll="0"/>
    <pivotField dragToRow="0" dragToCol="0" dragToPage="0" showAll="0" defaultSubtota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Indeks intensywności ruchu" fld="2" subtotal="average" showDataAs="percentOfCol" baseField="10" baseItem="2" numFmtId="10"/>
    <dataField name="Średnia z SLA" fld="8" subtotal="average" baseField="10" baseItem="0" numFmtId="1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0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Miesiąc" xr10:uid="{51F9FFC2-0838-4475-BC1C-DB0F4344779B}" sourceName="Miesiąc">
  <pivotTables>
    <pivotTable tabId="4" name="Wolumen vs AHT w dniach tygodnia"/>
    <pivotTable tabId="4" name="Realizacja celów jakościowych (SLA i FCR)"/>
  </pivotTables>
  <data>
    <tabular pivotCacheId="840702699">
      <items count="5">
        <i x="0" s="1"/>
        <i x="1" s="1"/>
        <i x="2" s="1"/>
        <i x="3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iesiąc" xr10:uid="{D23BDE15-2136-4CE5-BFBC-3DC73D008507}" cache="Fragmentator_Miesiąc" caption="Miesiąc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D69B7C-C405-4909-B9A8-2F6996EA4B9C}" name="DaneCC" displayName="DaneCC" ref="A1:O139" totalsRowShown="0" headerRowDxfId="20" dataDxfId="19">
  <autoFilter ref="A1:O139" xr:uid="{64D69B7C-C405-4909-B9A8-2F6996EA4B9C}"/>
  <tableColumns count="15">
    <tableColumn id="1" xr3:uid="{B523A7A7-43D9-4EF7-97A3-FB610526315F}" name="Data" dataDxfId="18"/>
    <tableColumn id="2" xr3:uid="{F7B9C1BA-D525-4D3A-8D2C-C1E704918678}" name="Kanał" dataDxfId="17"/>
    <tableColumn id="3" xr3:uid="{E501906E-A54F-42E5-8F30-7238A0DEC08F}" name="Połączenia przychodzące" dataDxfId="16"/>
    <tableColumn id="4" xr3:uid="{3F1828AB-DDAD-4DE7-B32B-DB9B6F36F535}" name="Połączenia odebrane" dataDxfId="15"/>
    <tableColumn id="5" xr3:uid="{56D6C5F3-B16F-443B-8474-4FA48EB7D35A}" name="Połączenia porzucone" dataDxfId="14"/>
    <tableColumn id="6" xr3:uid="{7D7F133D-CDA7-4C2C-B9F7-5661CFA10331}" name="Czas obsługi" dataDxfId="13"/>
    <tableColumn id="7" xr3:uid="{9184AFA2-C2F6-4D59-B745-3319F9CE40DC}" name="Średni czas oczekiwania (AWT) [sek]" dataDxfId="12"/>
    <tableColumn id="8" xr3:uid="{478A680C-1243-46FC-AE6D-5272C418B0A1}" name="FCR" dataDxfId="11" dataCellStyle="Procentowy"/>
    <tableColumn id="9" xr3:uid="{F6B75EC6-D83C-476D-88FB-4DDF7F07A56D}" name="SLA" dataDxfId="10"/>
    <tableColumn id="10" xr3:uid="{CC988196-C36B-47E4-A685-7E40F7321864}" name="Nr dnia tygodnia" dataDxfId="9">
      <calculatedColumnFormula>WEEKDAY(DaneCC[[#This Row],[Data]], 2)</calculatedColumnFormula>
    </tableColumn>
    <tableColumn id="11" xr3:uid="{F3B8A8C3-0ADF-4EFC-B28F-9DB959D508F6}" name="Dzień tygodnia" dataDxfId="8">
      <calculatedColumnFormula>TEXT(DaneCC[[#This Row],[Data]], "dddd")</calculatedColumnFormula>
    </tableColumn>
    <tableColumn id="12" xr3:uid="{06AD7CEF-53C3-4019-A429-E2249D0AF416}" name="Miesiąc" dataDxfId="7">
      <calculatedColumnFormula>TEXT(DaneCC[[#This Row],[Data]], "mmmm")</calculatedColumnFormula>
    </tableColumn>
    <tableColumn id="13" xr3:uid="{F9B6BA8A-98F1-47CE-9793-C0CCE35AE7C3}" name="Cel FCR" dataDxfId="6">
      <calculatedColumnFormula>Parametry!$B$1</calculatedColumnFormula>
    </tableColumn>
    <tableColumn id="14" xr3:uid="{389EC2E7-EC2B-49AD-84D7-5935C4684A13}" name="Cel SLA" dataDxfId="5">
      <calculatedColumnFormula>Parametry!$B$2</calculatedColumnFormula>
    </tableColumn>
    <tableColumn id="15" xr3:uid="{F88BEE38-1909-4F03-8A6B-8B19BE8998E0}" name="Workload" dataDxfId="4">
      <calculatedColumnFormula>DaneCC[[#This Row],[Połączenia przychodzące]] * DaneCC[[#This Row],[Czas obsługi]]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3148C-4945-41EF-B212-51174C55EEEB}">
  <dimension ref="A1:A73"/>
  <sheetViews>
    <sheetView showGridLines="0" zoomScale="40" zoomScaleNormal="40" workbookViewId="0">
      <selection sqref="A1:U73"/>
    </sheetView>
  </sheetViews>
  <sheetFormatPr defaultRowHeight="15" x14ac:dyDescent="0.25"/>
  <sheetData>
    <row r="1" spans="1:1" ht="26.25" x14ac:dyDescent="0.25">
      <c r="A1" s="10" t="s">
        <v>145</v>
      </c>
    </row>
    <row r="2" spans="1:1" x14ac:dyDescent="0.25">
      <c r="A2" s="9"/>
    </row>
    <row r="3" spans="1:1" ht="21" x14ac:dyDescent="0.25">
      <c r="A3" s="11" t="s">
        <v>146</v>
      </c>
    </row>
    <row r="4" spans="1:1" x14ac:dyDescent="0.25">
      <c r="A4" s="9"/>
    </row>
    <row r="5" spans="1:1" ht="16.5" x14ac:dyDescent="0.25">
      <c r="A5" s="12" t="s">
        <v>147</v>
      </c>
    </row>
    <row r="6" spans="1:1" x14ac:dyDescent="0.25">
      <c r="A6" s="9"/>
    </row>
    <row r="7" spans="1:1" ht="16.5" x14ac:dyDescent="0.25">
      <c r="A7" s="12" t="s">
        <v>148</v>
      </c>
    </row>
    <row r="8" spans="1:1" x14ac:dyDescent="0.25">
      <c r="A8" s="13"/>
    </row>
    <row r="9" spans="1:1" ht="16.5" x14ac:dyDescent="0.25">
      <c r="A9" s="14" t="s">
        <v>149</v>
      </c>
    </row>
    <row r="10" spans="1:1" ht="16.5" x14ac:dyDescent="0.25">
      <c r="A10" s="14" t="s">
        <v>150</v>
      </c>
    </row>
    <row r="11" spans="1:1" x14ac:dyDescent="0.25">
      <c r="A11" s="9"/>
    </row>
    <row r="12" spans="1:1" ht="16.5" x14ac:dyDescent="0.25">
      <c r="A12" s="12" t="s">
        <v>151</v>
      </c>
    </row>
    <row r="13" spans="1:1" x14ac:dyDescent="0.25">
      <c r="A13" s="9"/>
    </row>
    <row r="15" spans="1:1" x14ac:dyDescent="0.25">
      <c r="A15" s="9"/>
    </row>
    <row r="16" spans="1:1" ht="21" x14ac:dyDescent="0.25">
      <c r="A16" s="11" t="s">
        <v>152</v>
      </c>
    </row>
    <row r="17" spans="1:1" x14ac:dyDescent="0.25">
      <c r="A17" s="9"/>
    </row>
    <row r="18" spans="1:1" ht="16.5" x14ac:dyDescent="0.25">
      <c r="A18" s="12" t="s">
        <v>153</v>
      </c>
    </row>
    <row r="19" spans="1:1" x14ac:dyDescent="0.25">
      <c r="A19" s="13"/>
    </row>
    <row r="20" spans="1:1" ht="16.5" x14ac:dyDescent="0.25">
      <c r="A20" s="15" t="s">
        <v>154</v>
      </c>
    </row>
    <row r="21" spans="1:1" ht="16.5" x14ac:dyDescent="0.25">
      <c r="A21" s="15" t="s">
        <v>155</v>
      </c>
    </row>
    <row r="22" spans="1:1" ht="16.5" x14ac:dyDescent="0.25">
      <c r="A22" s="15" t="s">
        <v>156</v>
      </c>
    </row>
    <row r="23" spans="1:1" x14ac:dyDescent="0.25">
      <c r="A23" s="9"/>
    </row>
    <row r="25" spans="1:1" x14ac:dyDescent="0.25">
      <c r="A25" s="9"/>
    </row>
    <row r="26" spans="1:1" ht="21" x14ac:dyDescent="0.25">
      <c r="A26" s="11" t="s">
        <v>157</v>
      </c>
    </row>
    <row r="27" spans="1:1" x14ac:dyDescent="0.25">
      <c r="A27" s="9"/>
    </row>
    <row r="28" spans="1:1" ht="16.5" x14ac:dyDescent="0.25">
      <c r="A28" s="12" t="s">
        <v>158</v>
      </c>
    </row>
    <row r="29" spans="1:1" x14ac:dyDescent="0.25">
      <c r="A29" s="13"/>
    </row>
    <row r="30" spans="1:1" ht="16.5" x14ac:dyDescent="0.25">
      <c r="A30" s="14" t="s">
        <v>159</v>
      </c>
    </row>
    <row r="31" spans="1:1" x14ac:dyDescent="0.25">
      <c r="A31" s="13"/>
    </row>
    <row r="32" spans="1:1" ht="16.5" x14ac:dyDescent="0.25">
      <c r="A32" s="15"/>
    </row>
    <row r="33" spans="1:1" ht="16.5" x14ac:dyDescent="0.25">
      <c r="A33" s="16" t="s">
        <v>160</v>
      </c>
    </row>
    <row r="34" spans="1:1" ht="16.5" x14ac:dyDescent="0.25">
      <c r="A34" s="16" t="s">
        <v>161</v>
      </c>
    </row>
    <row r="35" spans="1:1" ht="16.5" x14ac:dyDescent="0.25">
      <c r="A35" s="16" t="s">
        <v>162</v>
      </c>
    </row>
    <row r="36" spans="1:1" ht="16.5" x14ac:dyDescent="0.25">
      <c r="A36" s="16" t="s">
        <v>163</v>
      </c>
    </row>
    <row r="37" spans="1:1" x14ac:dyDescent="0.25">
      <c r="A37" s="13"/>
    </row>
    <row r="38" spans="1:1" ht="16.5" x14ac:dyDescent="0.25">
      <c r="A38" s="14" t="s">
        <v>164</v>
      </c>
    </row>
    <row r="39" spans="1:1" x14ac:dyDescent="0.25">
      <c r="A39" s="13"/>
    </row>
    <row r="40" spans="1:1" ht="16.5" x14ac:dyDescent="0.25">
      <c r="A40" s="15"/>
    </row>
    <row r="41" spans="1:1" ht="16.5" x14ac:dyDescent="0.25">
      <c r="A41" s="16" t="s">
        <v>165</v>
      </c>
    </row>
    <row r="42" spans="1:1" ht="16.5" x14ac:dyDescent="0.25">
      <c r="A42" s="16" t="s">
        <v>166</v>
      </c>
    </row>
    <row r="43" spans="1:1" x14ac:dyDescent="0.25">
      <c r="A43" s="13"/>
    </row>
    <row r="44" spans="1:1" ht="16.5" x14ac:dyDescent="0.25">
      <c r="A44" s="14" t="s">
        <v>167</v>
      </c>
    </row>
    <row r="45" spans="1:1" x14ac:dyDescent="0.25">
      <c r="A45" s="13"/>
    </row>
    <row r="46" spans="1:1" ht="16.5" x14ac:dyDescent="0.25">
      <c r="A46" s="14" t="s">
        <v>168</v>
      </c>
    </row>
    <row r="47" spans="1:1" x14ac:dyDescent="0.25">
      <c r="A47" s="13"/>
    </row>
    <row r="48" spans="1:1" ht="16.5" x14ac:dyDescent="0.25">
      <c r="A48" s="15"/>
    </row>
    <row r="49" spans="1:1" ht="16.5" x14ac:dyDescent="0.25">
      <c r="A49" s="16" t="s">
        <v>169</v>
      </c>
    </row>
    <row r="50" spans="1:1" ht="16.5" x14ac:dyDescent="0.25">
      <c r="A50" s="16" t="s">
        <v>170</v>
      </c>
    </row>
    <row r="51" spans="1:1" x14ac:dyDescent="0.25">
      <c r="A51" s="9"/>
    </row>
    <row r="53" spans="1:1" x14ac:dyDescent="0.25">
      <c r="A53" s="9"/>
    </row>
    <row r="54" spans="1:1" ht="21" x14ac:dyDescent="0.25">
      <c r="A54" s="11" t="s">
        <v>171</v>
      </c>
    </row>
    <row r="55" spans="1:1" x14ac:dyDescent="0.25">
      <c r="A55" s="13"/>
    </row>
    <row r="56" spans="1:1" ht="16.5" x14ac:dyDescent="0.25">
      <c r="A56" s="15" t="s">
        <v>172</v>
      </c>
    </row>
    <row r="57" spans="1:1" ht="16.5" x14ac:dyDescent="0.25">
      <c r="A57" s="15" t="s">
        <v>173</v>
      </c>
    </row>
    <row r="58" spans="1:1" ht="16.5" x14ac:dyDescent="0.25">
      <c r="A58" s="15" t="s">
        <v>174</v>
      </c>
    </row>
    <row r="59" spans="1:1" ht="16.5" x14ac:dyDescent="0.25">
      <c r="A59" s="16" t="s">
        <v>175</v>
      </c>
    </row>
    <row r="60" spans="1:1" ht="16.5" x14ac:dyDescent="0.25">
      <c r="A60" s="16" t="s">
        <v>176</v>
      </c>
    </row>
    <row r="61" spans="1:1" x14ac:dyDescent="0.25">
      <c r="A61" s="9"/>
    </row>
    <row r="63" spans="1:1" x14ac:dyDescent="0.25">
      <c r="A63" s="9"/>
    </row>
    <row r="64" spans="1:1" ht="21" x14ac:dyDescent="0.25">
      <c r="A64" s="11" t="s">
        <v>177</v>
      </c>
    </row>
    <row r="65" spans="1:1" x14ac:dyDescent="0.25">
      <c r="A65" s="13"/>
    </row>
    <row r="66" spans="1:1" ht="16.5" x14ac:dyDescent="0.25">
      <c r="A66" s="15" t="s">
        <v>178</v>
      </c>
    </row>
    <row r="67" spans="1:1" ht="16.5" x14ac:dyDescent="0.25">
      <c r="A67" s="15" t="s">
        <v>179</v>
      </c>
    </row>
    <row r="68" spans="1:1" ht="16.5" x14ac:dyDescent="0.25">
      <c r="A68" s="16" t="s">
        <v>180</v>
      </c>
    </row>
    <row r="69" spans="1:1" ht="16.5" x14ac:dyDescent="0.25">
      <c r="A69" s="16" t="s">
        <v>181</v>
      </c>
    </row>
    <row r="70" spans="1:1" ht="16.5" x14ac:dyDescent="0.25">
      <c r="A70" s="16" t="s">
        <v>182</v>
      </c>
    </row>
    <row r="73" spans="1:1" ht="23.25" x14ac:dyDescent="0.35">
      <c r="A73" s="17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9"/>
  <sheetViews>
    <sheetView showGridLines="0" tabSelected="1" workbookViewId="0">
      <selection sqref="A1:O22"/>
    </sheetView>
  </sheetViews>
  <sheetFormatPr defaultRowHeight="15" x14ac:dyDescent="0.25"/>
  <cols>
    <col min="1" max="1" width="11.140625" bestFit="1" customWidth="1"/>
    <col min="3" max="3" width="24.85546875" customWidth="1"/>
    <col min="4" max="4" width="21.5703125" customWidth="1"/>
    <col min="5" max="5" width="22.28515625" customWidth="1"/>
    <col min="6" max="6" width="30" customWidth="1"/>
    <col min="7" max="7" width="35.140625" customWidth="1"/>
    <col min="8" max="8" width="9.140625" style="25"/>
    <col min="9" max="9" width="9.7109375" customWidth="1"/>
    <col min="10" max="10" width="14.85546875" customWidth="1"/>
    <col min="11" max="11" width="13.28515625" customWidth="1"/>
    <col min="15" max="15" width="11.425781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205</v>
      </c>
      <c r="G1" s="4" t="s">
        <v>5</v>
      </c>
      <c r="H1" s="26" t="s">
        <v>6</v>
      </c>
      <c r="I1" s="4" t="s">
        <v>201</v>
      </c>
      <c r="J1" s="4" t="s">
        <v>186</v>
      </c>
      <c r="K1" s="4" t="s">
        <v>187</v>
      </c>
      <c r="L1" s="4" t="s">
        <v>188</v>
      </c>
      <c r="M1" s="4" t="s">
        <v>184</v>
      </c>
      <c r="N1" s="4" t="s">
        <v>185</v>
      </c>
      <c r="O1" s="4" t="s">
        <v>214</v>
      </c>
    </row>
    <row r="2" spans="1:15" x14ac:dyDescent="0.25">
      <c r="A2" s="5" t="s">
        <v>8</v>
      </c>
      <c r="B2" s="1" t="s">
        <v>7</v>
      </c>
      <c r="C2" s="6">
        <v>133</v>
      </c>
      <c r="D2" s="6">
        <v>92</v>
      </c>
      <c r="E2" s="7">
        <v>41</v>
      </c>
      <c r="F2" s="6">
        <v>530.16304347826099</v>
      </c>
      <c r="G2" s="6">
        <v>142.565217391304</v>
      </c>
      <c r="H2" s="24">
        <v>0.89</v>
      </c>
      <c r="I2" s="8">
        <v>0.55434782608695699</v>
      </c>
      <c r="J2" s="19">
        <f>WEEKDAY(DaneCC[[#This Row],[Data]], 2)</f>
        <v>4</v>
      </c>
      <c r="K2" s="19" t="str">
        <f>TEXT(DaneCC[[#This Row],[Data]], "dddd")</f>
        <v>czwartek</v>
      </c>
      <c r="L2" s="19" t="str">
        <f>TEXT(DaneCC[[#This Row],[Data]], "mmmm")</f>
        <v>styczeń</v>
      </c>
      <c r="M2" s="18">
        <f>Parametry!$B$1</f>
        <v>0.85</v>
      </c>
      <c r="N2" s="18">
        <f>Parametry!$B$2</f>
        <v>0.8</v>
      </c>
      <c r="O2" s="19">
        <f>DaneCC[[#This Row],[Połączenia przychodzące]] * DaneCC[[#This Row],[Czas obsługi]]</f>
        <v>70511.684782608718</v>
      </c>
    </row>
    <row r="3" spans="1:15" x14ac:dyDescent="0.25">
      <c r="A3" s="5" t="s">
        <v>9</v>
      </c>
      <c r="B3" s="1" t="s">
        <v>7</v>
      </c>
      <c r="C3" s="6">
        <v>1390</v>
      </c>
      <c r="D3" s="6">
        <v>1299</v>
      </c>
      <c r="E3" s="7">
        <v>91</v>
      </c>
      <c r="F3" s="6">
        <v>562.13933795227103</v>
      </c>
      <c r="G3" s="6">
        <v>60.047433903577002</v>
      </c>
      <c r="H3" s="24">
        <v>0.86</v>
      </c>
      <c r="I3" s="8">
        <v>0.63202463433410305</v>
      </c>
      <c r="J3" s="19">
        <f>WEEKDAY(DaneCC[[#This Row],[Data]], 2)</f>
        <v>5</v>
      </c>
      <c r="K3" s="19" t="str">
        <f>TEXT(DaneCC[[#This Row],[Data]], "dddd")</f>
        <v>piątek</v>
      </c>
      <c r="L3" s="19" t="str">
        <f>TEXT(DaneCC[[#This Row],[Data]], "mmmm")</f>
        <v>styczeń</v>
      </c>
      <c r="M3" s="28">
        <f>Parametry!$B$1</f>
        <v>0.85</v>
      </c>
      <c r="N3" s="28">
        <f>Parametry!$B$2</f>
        <v>0.8</v>
      </c>
      <c r="O3" s="19">
        <f>DaneCC[[#This Row],[Połączenia przychodzące]] * DaneCC[[#This Row],[Czas obsługi]]</f>
        <v>781373.67975365673</v>
      </c>
    </row>
    <row r="4" spans="1:15" x14ac:dyDescent="0.25">
      <c r="A4" s="5" t="s">
        <v>10</v>
      </c>
      <c r="B4" s="1" t="s">
        <v>7</v>
      </c>
      <c r="C4" s="6">
        <v>274</v>
      </c>
      <c r="D4" s="6">
        <v>155</v>
      </c>
      <c r="E4" s="7">
        <v>119</v>
      </c>
      <c r="F4" s="6">
        <v>655.21935483871005</v>
      </c>
      <c r="G4" s="6">
        <v>442.54545454545502</v>
      </c>
      <c r="H4" s="24">
        <v>0.84000000000000008</v>
      </c>
      <c r="I4" s="8">
        <v>0.25806451612903197</v>
      </c>
      <c r="J4" s="19">
        <f>WEEKDAY(DaneCC[[#This Row],[Data]], 2)</f>
        <v>6</v>
      </c>
      <c r="K4" s="19" t="str">
        <f>TEXT(DaneCC[[#This Row],[Data]], "dddd")</f>
        <v>sobota</v>
      </c>
      <c r="L4" s="19" t="str">
        <f>TEXT(DaneCC[[#This Row],[Data]], "mmmm")</f>
        <v>styczeń</v>
      </c>
      <c r="M4" s="28">
        <f>Parametry!$B$1</f>
        <v>0.85</v>
      </c>
      <c r="N4" s="28">
        <f>Parametry!$B$2</f>
        <v>0.8</v>
      </c>
      <c r="O4" s="19">
        <f>DaneCC[[#This Row],[Połączenia przychodzące]] * DaneCC[[#This Row],[Czas obsługi]]</f>
        <v>179530.10322580655</v>
      </c>
    </row>
    <row r="5" spans="1:15" x14ac:dyDescent="0.25">
      <c r="A5" s="5" t="s">
        <v>11</v>
      </c>
      <c r="B5" s="1" t="s">
        <v>7</v>
      </c>
      <c r="C5" s="6">
        <v>234</v>
      </c>
      <c r="D5" s="6">
        <v>99</v>
      </c>
      <c r="E5" s="7">
        <v>135</v>
      </c>
      <c r="F5" s="6">
        <v>549.46464646464597</v>
      </c>
      <c r="G5" s="6">
        <v>624.632653061224</v>
      </c>
      <c r="H5" s="24">
        <v>0.86</v>
      </c>
      <c r="I5" s="8">
        <v>0.24242424242424199</v>
      </c>
      <c r="J5" s="19">
        <f>WEEKDAY(DaneCC[[#This Row],[Data]], 2)</f>
        <v>7</v>
      </c>
      <c r="K5" s="19" t="str">
        <f>TEXT(DaneCC[[#This Row],[Data]], "dddd")</f>
        <v>niedziela</v>
      </c>
      <c r="L5" s="19" t="str">
        <f>TEXT(DaneCC[[#This Row],[Data]], "mmmm")</f>
        <v>styczeń</v>
      </c>
      <c r="M5" s="28">
        <f>Parametry!$B$1</f>
        <v>0.85</v>
      </c>
      <c r="N5" s="28">
        <f>Parametry!$B$2</f>
        <v>0.8</v>
      </c>
      <c r="O5" s="19">
        <f>DaneCC[[#This Row],[Połączenia przychodzące]] * DaneCC[[#This Row],[Czas obsługi]]</f>
        <v>128574.72727272716</v>
      </c>
    </row>
    <row r="6" spans="1:15" x14ac:dyDescent="0.25">
      <c r="A6" s="5" t="s">
        <v>12</v>
      </c>
      <c r="B6" s="1" t="s">
        <v>7</v>
      </c>
      <c r="C6" s="6">
        <v>1505</v>
      </c>
      <c r="D6" s="6">
        <v>1335</v>
      </c>
      <c r="E6" s="7">
        <v>170</v>
      </c>
      <c r="F6" s="6">
        <v>577.55880149812697</v>
      </c>
      <c r="G6" s="6">
        <v>125.055094339623</v>
      </c>
      <c r="H6" s="24">
        <v>0.86</v>
      </c>
      <c r="I6" s="8">
        <v>0.39250936329587999</v>
      </c>
      <c r="J6" s="19">
        <f>WEEKDAY(DaneCC[[#This Row],[Data]], 2)</f>
        <v>1</v>
      </c>
      <c r="K6" s="19" t="str">
        <f>TEXT(DaneCC[[#This Row],[Data]], "dddd")</f>
        <v>poniedziałek</v>
      </c>
      <c r="L6" s="19" t="str">
        <f>TEXT(DaneCC[[#This Row],[Data]], "mmmm")</f>
        <v>styczeń</v>
      </c>
      <c r="M6" s="28">
        <f>Parametry!$B$1</f>
        <v>0.85</v>
      </c>
      <c r="N6" s="28">
        <f>Parametry!$B$2</f>
        <v>0.8</v>
      </c>
      <c r="O6" s="19">
        <f>DaneCC[[#This Row],[Połączenia przychodzące]] * DaneCC[[#This Row],[Czas obsługi]]</f>
        <v>869225.99625468114</v>
      </c>
    </row>
    <row r="7" spans="1:15" x14ac:dyDescent="0.25">
      <c r="A7" s="5" t="s">
        <v>13</v>
      </c>
      <c r="B7" s="1" t="s">
        <v>7</v>
      </c>
      <c r="C7" s="6">
        <v>211</v>
      </c>
      <c r="D7" s="6">
        <v>146</v>
      </c>
      <c r="E7" s="7">
        <v>65</v>
      </c>
      <c r="F7" s="6">
        <v>477.53424657534202</v>
      </c>
      <c r="G7" s="6">
        <v>275.10416666666703</v>
      </c>
      <c r="H7" s="24">
        <v>0.83000000000000007</v>
      </c>
      <c r="I7" s="8">
        <v>0.42465753424657499</v>
      </c>
      <c r="J7" s="19">
        <f>WEEKDAY(DaneCC[[#This Row],[Data]], 2)</f>
        <v>2</v>
      </c>
      <c r="K7" s="19" t="str">
        <f>TEXT(DaneCC[[#This Row],[Data]], "dddd")</f>
        <v>wtorek</v>
      </c>
      <c r="L7" s="19" t="str">
        <f>TEXT(DaneCC[[#This Row],[Data]], "mmmm")</f>
        <v>styczeń</v>
      </c>
      <c r="M7" s="28">
        <f>Parametry!$B$1</f>
        <v>0.85</v>
      </c>
      <c r="N7" s="28">
        <f>Parametry!$B$2</f>
        <v>0.8</v>
      </c>
      <c r="O7" s="19">
        <f>DaneCC[[#This Row],[Połączenia przychodzące]] * DaneCC[[#This Row],[Czas obsługi]]</f>
        <v>100759.72602739716</v>
      </c>
    </row>
    <row r="8" spans="1:15" x14ac:dyDescent="0.25">
      <c r="A8" s="5" t="s">
        <v>14</v>
      </c>
      <c r="B8" s="1" t="s">
        <v>7</v>
      </c>
      <c r="C8" s="6">
        <v>1783</v>
      </c>
      <c r="D8" s="6">
        <v>1594</v>
      </c>
      <c r="E8" s="7">
        <v>189</v>
      </c>
      <c r="F8" s="6">
        <v>542.20075282308699</v>
      </c>
      <c r="G8" s="6">
        <v>98.040660736975894</v>
      </c>
      <c r="H8" s="24">
        <v>0.84000000000000008</v>
      </c>
      <c r="I8" s="8">
        <v>0.49498117942283598</v>
      </c>
      <c r="J8" s="19">
        <f>WEEKDAY(DaneCC[[#This Row],[Data]], 2)</f>
        <v>3</v>
      </c>
      <c r="K8" s="19" t="str">
        <f>TEXT(DaneCC[[#This Row],[Data]], "dddd")</f>
        <v>środa</v>
      </c>
      <c r="L8" s="19" t="str">
        <f>TEXT(DaneCC[[#This Row],[Data]], "mmmm")</f>
        <v>styczeń</v>
      </c>
      <c r="M8" s="28">
        <f>Parametry!$B$1</f>
        <v>0.85</v>
      </c>
      <c r="N8" s="28">
        <f>Parametry!$B$2</f>
        <v>0.8</v>
      </c>
      <c r="O8" s="19">
        <f>DaneCC[[#This Row],[Połączenia przychodzące]] * DaneCC[[#This Row],[Czas obsługi]]</f>
        <v>966743.94228356413</v>
      </c>
    </row>
    <row r="9" spans="1:15" x14ac:dyDescent="0.25">
      <c r="A9" s="5" t="s">
        <v>15</v>
      </c>
      <c r="B9" s="1" t="s">
        <v>7</v>
      </c>
      <c r="C9" s="6">
        <v>1391</v>
      </c>
      <c r="D9" s="6">
        <v>1276</v>
      </c>
      <c r="E9" s="7">
        <v>115</v>
      </c>
      <c r="F9" s="6">
        <v>564.15987460815097</v>
      </c>
      <c r="G9" s="6">
        <v>83.185185185185205</v>
      </c>
      <c r="H9" s="24">
        <v>0.86</v>
      </c>
      <c r="I9" s="8">
        <v>0.55250783699059602</v>
      </c>
      <c r="J9" s="19">
        <f>WEEKDAY(DaneCC[[#This Row],[Data]], 2)</f>
        <v>4</v>
      </c>
      <c r="K9" s="19" t="str">
        <f>TEXT(DaneCC[[#This Row],[Data]], "dddd")</f>
        <v>czwartek</v>
      </c>
      <c r="L9" s="19" t="str">
        <f>TEXT(DaneCC[[#This Row],[Data]], "mmmm")</f>
        <v>styczeń</v>
      </c>
      <c r="M9" s="28">
        <f>Parametry!$B$1</f>
        <v>0.85</v>
      </c>
      <c r="N9" s="28">
        <f>Parametry!$B$2</f>
        <v>0.8</v>
      </c>
      <c r="O9" s="19">
        <f>DaneCC[[#This Row],[Połączenia przychodzące]] * DaneCC[[#This Row],[Czas obsługi]]</f>
        <v>784746.38557993795</v>
      </c>
    </row>
    <row r="10" spans="1:15" x14ac:dyDescent="0.25">
      <c r="A10" s="5" t="s">
        <v>16</v>
      </c>
      <c r="B10" s="1" t="s">
        <v>7</v>
      </c>
      <c r="C10" s="6">
        <v>1382</v>
      </c>
      <c r="D10" s="6">
        <v>1319</v>
      </c>
      <c r="E10" s="7">
        <v>63</v>
      </c>
      <c r="F10" s="6">
        <v>555.86732373009897</v>
      </c>
      <c r="G10" s="6">
        <v>46.543096872616303</v>
      </c>
      <c r="H10" s="24">
        <v>0.85000000000000009</v>
      </c>
      <c r="I10" s="8">
        <v>0.68840030326004598</v>
      </c>
      <c r="J10" s="19">
        <f>WEEKDAY(DaneCC[[#This Row],[Data]], 2)</f>
        <v>5</v>
      </c>
      <c r="K10" s="19" t="str">
        <f>TEXT(DaneCC[[#This Row],[Data]], "dddd")</f>
        <v>piątek</v>
      </c>
      <c r="L10" s="19" t="str">
        <f>TEXT(DaneCC[[#This Row],[Data]], "mmmm")</f>
        <v>styczeń</v>
      </c>
      <c r="M10" s="28">
        <f>Parametry!$B$1</f>
        <v>0.85</v>
      </c>
      <c r="N10" s="28">
        <f>Parametry!$B$2</f>
        <v>0.8</v>
      </c>
      <c r="O10" s="19">
        <f>DaneCC[[#This Row],[Połączenia przychodzące]] * DaneCC[[#This Row],[Czas obsługi]]</f>
        <v>768208.64139499678</v>
      </c>
    </row>
    <row r="11" spans="1:15" x14ac:dyDescent="0.25">
      <c r="A11" s="5" t="s">
        <v>17</v>
      </c>
      <c r="B11" s="1" t="s">
        <v>7</v>
      </c>
      <c r="C11" s="6">
        <v>251</v>
      </c>
      <c r="D11" s="6">
        <v>163</v>
      </c>
      <c r="E11" s="7">
        <v>88</v>
      </c>
      <c r="F11" s="6">
        <v>517.33742331288295</v>
      </c>
      <c r="G11" s="6">
        <v>330.72392638036803</v>
      </c>
      <c r="H11" s="24">
        <v>0.84000000000000008</v>
      </c>
      <c r="I11" s="8">
        <v>0.41104294478527598</v>
      </c>
      <c r="J11" s="19">
        <f>WEEKDAY(DaneCC[[#This Row],[Data]], 2)</f>
        <v>6</v>
      </c>
      <c r="K11" s="19" t="str">
        <f>TEXT(DaneCC[[#This Row],[Data]], "dddd")</f>
        <v>sobota</v>
      </c>
      <c r="L11" s="19" t="str">
        <f>TEXT(DaneCC[[#This Row],[Data]], "mmmm")</f>
        <v>styczeń</v>
      </c>
      <c r="M11" s="28">
        <f>Parametry!$B$1</f>
        <v>0.85</v>
      </c>
      <c r="N11" s="28">
        <f>Parametry!$B$2</f>
        <v>0.8</v>
      </c>
      <c r="O11" s="19">
        <f>DaneCC[[#This Row],[Połączenia przychodzące]] * DaneCC[[#This Row],[Czas obsługi]]</f>
        <v>129851.69325153362</v>
      </c>
    </row>
    <row r="12" spans="1:15" x14ac:dyDescent="0.25">
      <c r="A12" s="5" t="s">
        <v>18</v>
      </c>
      <c r="B12" s="1" t="s">
        <v>7</v>
      </c>
      <c r="C12" s="6">
        <v>204</v>
      </c>
      <c r="D12" s="6">
        <v>137</v>
      </c>
      <c r="E12" s="7">
        <v>67</v>
      </c>
      <c r="F12" s="6">
        <v>538.88321167883203</v>
      </c>
      <c r="G12" s="6">
        <v>299.66911764705901</v>
      </c>
      <c r="H12" s="24">
        <v>0.81</v>
      </c>
      <c r="I12" s="8">
        <v>0.42335766423357701</v>
      </c>
      <c r="J12" s="19">
        <f>WEEKDAY(DaneCC[[#This Row],[Data]], 2)</f>
        <v>7</v>
      </c>
      <c r="K12" s="19" t="str">
        <f>TEXT(DaneCC[[#This Row],[Data]], "dddd")</f>
        <v>niedziela</v>
      </c>
      <c r="L12" s="19" t="str">
        <f>TEXT(DaneCC[[#This Row],[Data]], "mmmm")</f>
        <v>styczeń</v>
      </c>
      <c r="M12" s="28">
        <f>Parametry!$B$1</f>
        <v>0.85</v>
      </c>
      <c r="N12" s="28">
        <f>Parametry!$B$2</f>
        <v>0.8</v>
      </c>
      <c r="O12" s="19">
        <f>DaneCC[[#This Row],[Połączenia przychodzące]] * DaneCC[[#This Row],[Czas obsługi]]</f>
        <v>109932.17518248173</v>
      </c>
    </row>
    <row r="13" spans="1:15" x14ac:dyDescent="0.25">
      <c r="A13" s="5" t="s">
        <v>19</v>
      </c>
      <c r="B13" s="1" t="s">
        <v>7</v>
      </c>
      <c r="C13" s="6">
        <v>1347</v>
      </c>
      <c r="D13" s="6">
        <v>1315</v>
      </c>
      <c r="E13" s="7">
        <v>32</v>
      </c>
      <c r="F13" s="6">
        <v>531.61596958174903</v>
      </c>
      <c r="G13" s="6">
        <v>32.487730061349701</v>
      </c>
      <c r="H13" s="24">
        <v>0.81</v>
      </c>
      <c r="I13" s="8">
        <v>0.808365019011407</v>
      </c>
      <c r="J13" s="19">
        <f>WEEKDAY(DaneCC[[#This Row],[Data]], 2)</f>
        <v>1</v>
      </c>
      <c r="K13" s="19" t="str">
        <f>TEXT(DaneCC[[#This Row],[Data]], "dddd")</f>
        <v>poniedziałek</v>
      </c>
      <c r="L13" s="19" t="str">
        <f>TEXT(DaneCC[[#This Row],[Data]], "mmmm")</f>
        <v>styczeń</v>
      </c>
      <c r="M13" s="28">
        <f>Parametry!$B$1</f>
        <v>0.85</v>
      </c>
      <c r="N13" s="28">
        <f>Parametry!$B$2</f>
        <v>0.8</v>
      </c>
      <c r="O13" s="19">
        <f>DaneCC[[#This Row],[Połączenia przychodzące]] * DaneCC[[#This Row],[Czas obsługi]]</f>
        <v>716086.71102661593</v>
      </c>
    </row>
    <row r="14" spans="1:15" x14ac:dyDescent="0.25">
      <c r="A14" s="5" t="s">
        <v>20</v>
      </c>
      <c r="B14" s="1" t="s">
        <v>7</v>
      </c>
      <c r="C14" s="6">
        <v>1292</v>
      </c>
      <c r="D14" s="6">
        <v>1227</v>
      </c>
      <c r="E14" s="7">
        <v>65</v>
      </c>
      <c r="F14" s="6">
        <v>576.17848410757904</v>
      </c>
      <c r="G14" s="6">
        <v>53.309719934102098</v>
      </c>
      <c r="H14" s="24">
        <v>0.82000000000000006</v>
      </c>
      <c r="I14" s="8">
        <v>0.61776691116544402</v>
      </c>
      <c r="J14" s="19">
        <f>WEEKDAY(DaneCC[[#This Row],[Data]], 2)</f>
        <v>2</v>
      </c>
      <c r="K14" s="19" t="str">
        <f>TEXT(DaneCC[[#This Row],[Data]], "dddd")</f>
        <v>wtorek</v>
      </c>
      <c r="L14" s="19" t="str">
        <f>TEXT(DaneCC[[#This Row],[Data]], "mmmm")</f>
        <v>styczeń</v>
      </c>
      <c r="M14" s="28">
        <f>Parametry!$B$1</f>
        <v>0.85</v>
      </c>
      <c r="N14" s="28">
        <f>Parametry!$B$2</f>
        <v>0.8</v>
      </c>
      <c r="O14" s="19">
        <f>DaneCC[[#This Row],[Połączenia przychodzące]] * DaneCC[[#This Row],[Czas obsługi]]</f>
        <v>744422.60146699217</v>
      </c>
    </row>
    <row r="15" spans="1:15" x14ac:dyDescent="0.25">
      <c r="A15" s="5" t="s">
        <v>21</v>
      </c>
      <c r="B15" s="1" t="s">
        <v>7</v>
      </c>
      <c r="C15" s="6">
        <v>1262</v>
      </c>
      <c r="D15" s="6">
        <v>1254</v>
      </c>
      <c r="E15" s="7">
        <v>8</v>
      </c>
      <c r="F15" s="6">
        <v>530.47368421052602</v>
      </c>
      <c r="G15" s="6">
        <v>23.354604200323099</v>
      </c>
      <c r="H15" s="24">
        <v>0.84000000000000008</v>
      </c>
      <c r="I15" s="8">
        <v>0.87161084529505595</v>
      </c>
      <c r="J15" s="19">
        <f>WEEKDAY(DaneCC[[#This Row],[Data]], 2)</f>
        <v>3</v>
      </c>
      <c r="K15" s="19" t="str">
        <f>TEXT(DaneCC[[#This Row],[Data]], "dddd")</f>
        <v>środa</v>
      </c>
      <c r="L15" s="19" t="str">
        <f>TEXT(DaneCC[[#This Row],[Data]], "mmmm")</f>
        <v>styczeń</v>
      </c>
      <c r="M15" s="28">
        <f>Parametry!$B$1</f>
        <v>0.85</v>
      </c>
      <c r="N15" s="28">
        <f>Parametry!$B$2</f>
        <v>0.8</v>
      </c>
      <c r="O15" s="19">
        <f>DaneCC[[#This Row],[Połączenia przychodzące]] * DaneCC[[#This Row],[Czas obsługi]]</f>
        <v>669457.78947368381</v>
      </c>
    </row>
    <row r="16" spans="1:15" x14ac:dyDescent="0.25">
      <c r="A16" s="5" t="s">
        <v>22</v>
      </c>
      <c r="B16" s="1" t="s">
        <v>7</v>
      </c>
      <c r="C16" s="6">
        <v>1023</v>
      </c>
      <c r="D16" s="6">
        <v>989</v>
      </c>
      <c r="E16" s="7">
        <v>34</v>
      </c>
      <c r="F16" s="6">
        <v>579.99393326592497</v>
      </c>
      <c r="G16" s="6">
        <v>23.377032520325201</v>
      </c>
      <c r="H16" s="24">
        <v>0.85000000000000009</v>
      </c>
      <c r="I16" s="8">
        <v>0.81900910010111205</v>
      </c>
      <c r="J16" s="19">
        <f>WEEKDAY(DaneCC[[#This Row],[Data]], 2)</f>
        <v>4</v>
      </c>
      <c r="K16" s="19" t="str">
        <f>TEXT(DaneCC[[#This Row],[Data]], "dddd")</f>
        <v>czwartek</v>
      </c>
      <c r="L16" s="19" t="str">
        <f>TEXT(DaneCC[[#This Row],[Data]], "mmmm")</f>
        <v>styczeń</v>
      </c>
      <c r="M16" s="28">
        <f>Parametry!$B$1</f>
        <v>0.85</v>
      </c>
      <c r="N16" s="28">
        <f>Parametry!$B$2</f>
        <v>0.8</v>
      </c>
      <c r="O16" s="19">
        <f>DaneCC[[#This Row],[Połączenia przychodzące]] * DaneCC[[#This Row],[Czas obsługi]]</f>
        <v>593333.79373104125</v>
      </c>
    </row>
    <row r="17" spans="1:15" x14ac:dyDescent="0.25">
      <c r="A17" s="5" t="s">
        <v>23</v>
      </c>
      <c r="B17" s="1" t="s">
        <v>7</v>
      </c>
      <c r="C17" s="6">
        <v>910</v>
      </c>
      <c r="D17" s="6">
        <v>900</v>
      </c>
      <c r="E17" s="7">
        <v>10</v>
      </c>
      <c r="F17" s="6">
        <v>581.23333333333301</v>
      </c>
      <c r="G17" s="6">
        <v>16.815848214285701</v>
      </c>
      <c r="H17" s="24">
        <v>0.88</v>
      </c>
      <c r="I17" s="8">
        <v>0.85555555555555596</v>
      </c>
      <c r="J17" s="19">
        <f>WEEKDAY(DaneCC[[#This Row],[Data]], 2)</f>
        <v>5</v>
      </c>
      <c r="K17" s="19" t="str">
        <f>TEXT(DaneCC[[#This Row],[Data]], "dddd")</f>
        <v>piątek</v>
      </c>
      <c r="L17" s="19" t="str">
        <f>TEXT(DaneCC[[#This Row],[Data]], "mmmm")</f>
        <v>styczeń</v>
      </c>
      <c r="M17" s="28">
        <f>Parametry!$B$1</f>
        <v>0.85</v>
      </c>
      <c r="N17" s="28">
        <f>Parametry!$B$2</f>
        <v>0.8</v>
      </c>
      <c r="O17" s="19">
        <f>DaneCC[[#This Row],[Połączenia przychodzące]] * DaneCC[[#This Row],[Czas obsługi]]</f>
        <v>528922.33333333302</v>
      </c>
    </row>
    <row r="18" spans="1:15" x14ac:dyDescent="0.25">
      <c r="A18" s="5" t="s">
        <v>24</v>
      </c>
      <c r="B18" s="1" t="s">
        <v>7</v>
      </c>
      <c r="C18" s="6">
        <v>195</v>
      </c>
      <c r="D18" s="6">
        <v>134</v>
      </c>
      <c r="E18" s="7">
        <v>61</v>
      </c>
      <c r="F18" s="6">
        <v>624.14925373134304</v>
      </c>
      <c r="G18" s="6">
        <v>242.81679389313001</v>
      </c>
      <c r="H18" s="24">
        <v>0.87</v>
      </c>
      <c r="I18" s="8">
        <v>0.38805970149253699</v>
      </c>
      <c r="J18" s="19">
        <f>WEEKDAY(DaneCC[[#This Row],[Data]], 2)</f>
        <v>6</v>
      </c>
      <c r="K18" s="19" t="str">
        <f>TEXT(DaneCC[[#This Row],[Data]], "dddd")</f>
        <v>sobota</v>
      </c>
      <c r="L18" s="19" t="str">
        <f>TEXT(DaneCC[[#This Row],[Data]], "mmmm")</f>
        <v>styczeń</v>
      </c>
      <c r="M18" s="28">
        <f>Parametry!$B$1</f>
        <v>0.85</v>
      </c>
      <c r="N18" s="28">
        <f>Parametry!$B$2</f>
        <v>0.8</v>
      </c>
      <c r="O18" s="19">
        <f>DaneCC[[#This Row],[Połączenia przychodzące]] * DaneCC[[#This Row],[Czas obsługi]]</f>
        <v>121709.10447761189</v>
      </c>
    </row>
    <row r="19" spans="1:15" x14ac:dyDescent="0.25">
      <c r="A19" s="5" t="s">
        <v>25</v>
      </c>
      <c r="B19" s="1" t="s">
        <v>7</v>
      </c>
      <c r="C19" s="6">
        <v>115</v>
      </c>
      <c r="D19" s="6">
        <v>99</v>
      </c>
      <c r="E19" s="7">
        <v>16</v>
      </c>
      <c r="F19" s="6">
        <v>458.33333333333297</v>
      </c>
      <c r="G19" s="6">
        <v>115.24242424242399</v>
      </c>
      <c r="H19" s="24">
        <v>0.87</v>
      </c>
      <c r="I19" s="8">
        <v>0.59595959595959602</v>
      </c>
      <c r="J19" s="19">
        <f>WEEKDAY(DaneCC[[#This Row],[Data]], 2)</f>
        <v>7</v>
      </c>
      <c r="K19" s="19" t="str">
        <f>TEXT(DaneCC[[#This Row],[Data]], "dddd")</f>
        <v>niedziela</v>
      </c>
      <c r="L19" s="19" t="str">
        <f>TEXT(DaneCC[[#This Row],[Data]], "mmmm")</f>
        <v>styczeń</v>
      </c>
      <c r="M19" s="28">
        <f>Parametry!$B$1</f>
        <v>0.85</v>
      </c>
      <c r="N19" s="28">
        <f>Parametry!$B$2</f>
        <v>0.8</v>
      </c>
      <c r="O19" s="19">
        <f>DaneCC[[#This Row],[Połączenia przychodzące]] * DaneCC[[#This Row],[Czas obsługi]]</f>
        <v>52708.333333333292</v>
      </c>
    </row>
    <row r="20" spans="1:15" x14ac:dyDescent="0.25">
      <c r="A20" s="5" t="s">
        <v>26</v>
      </c>
      <c r="B20" s="1" t="s">
        <v>7</v>
      </c>
      <c r="C20" s="6">
        <v>1220</v>
      </c>
      <c r="D20" s="6">
        <v>1197</v>
      </c>
      <c r="E20" s="7">
        <v>23</v>
      </c>
      <c r="F20" s="6">
        <v>546.96491228070204</v>
      </c>
      <c r="G20" s="6">
        <v>19.383642495784098</v>
      </c>
      <c r="H20" s="24">
        <v>0.88</v>
      </c>
      <c r="I20" s="8">
        <v>0.86633249791144495</v>
      </c>
      <c r="J20" s="19">
        <f>WEEKDAY(DaneCC[[#This Row],[Data]], 2)</f>
        <v>1</v>
      </c>
      <c r="K20" s="19" t="str">
        <f>TEXT(DaneCC[[#This Row],[Data]], "dddd")</f>
        <v>poniedziałek</v>
      </c>
      <c r="L20" s="19" t="str">
        <f>TEXT(DaneCC[[#This Row],[Data]], "mmmm")</f>
        <v>styczeń</v>
      </c>
      <c r="M20" s="28">
        <f>Parametry!$B$1</f>
        <v>0.85</v>
      </c>
      <c r="N20" s="28">
        <f>Parametry!$B$2</f>
        <v>0.8</v>
      </c>
      <c r="O20" s="19">
        <f>DaneCC[[#This Row],[Połączenia przychodzące]] * DaneCC[[#This Row],[Czas obsługi]]</f>
        <v>667297.19298245653</v>
      </c>
    </row>
    <row r="21" spans="1:15" x14ac:dyDescent="0.25">
      <c r="A21" s="5" t="s">
        <v>27</v>
      </c>
      <c r="B21" s="1" t="s">
        <v>7</v>
      </c>
      <c r="C21" s="6">
        <v>1128</v>
      </c>
      <c r="D21" s="6">
        <v>1100</v>
      </c>
      <c r="E21" s="7">
        <v>28</v>
      </c>
      <c r="F21" s="6">
        <v>584.649090909091</v>
      </c>
      <c r="G21" s="6">
        <v>40.172033118675301</v>
      </c>
      <c r="H21" s="24">
        <v>0.88</v>
      </c>
      <c r="I21" s="8">
        <v>0.76181818181818195</v>
      </c>
      <c r="J21" s="19">
        <f>WEEKDAY(DaneCC[[#This Row],[Data]], 2)</f>
        <v>2</v>
      </c>
      <c r="K21" s="19" t="str">
        <f>TEXT(DaneCC[[#This Row],[Data]], "dddd")</f>
        <v>wtorek</v>
      </c>
      <c r="L21" s="19" t="str">
        <f>TEXT(DaneCC[[#This Row],[Data]], "mmmm")</f>
        <v>styczeń</v>
      </c>
      <c r="M21" s="28">
        <f>Parametry!$B$1</f>
        <v>0.85</v>
      </c>
      <c r="N21" s="28">
        <f>Parametry!$B$2</f>
        <v>0.8</v>
      </c>
      <c r="O21" s="19">
        <f>DaneCC[[#This Row],[Połączenia przychodzące]] * DaneCC[[#This Row],[Czas obsługi]]</f>
        <v>659484.17454545468</v>
      </c>
    </row>
    <row r="22" spans="1:15" x14ac:dyDescent="0.25">
      <c r="A22" s="5" t="s">
        <v>28</v>
      </c>
      <c r="B22" s="1" t="s">
        <v>7</v>
      </c>
      <c r="C22" s="6">
        <v>927</v>
      </c>
      <c r="D22" s="6">
        <v>920</v>
      </c>
      <c r="E22" s="7">
        <v>7</v>
      </c>
      <c r="F22" s="6">
        <v>602.73478260869604</v>
      </c>
      <c r="G22" s="6">
        <v>24.325581395348799</v>
      </c>
      <c r="H22" s="24">
        <v>0.84000000000000008</v>
      </c>
      <c r="I22" s="8">
        <v>0.84239130434782605</v>
      </c>
      <c r="J22" s="19">
        <f>WEEKDAY(DaneCC[[#This Row],[Data]], 2)</f>
        <v>3</v>
      </c>
      <c r="K22" s="19" t="str">
        <f>TEXT(DaneCC[[#This Row],[Data]], "dddd")</f>
        <v>środa</v>
      </c>
      <c r="L22" s="19" t="str">
        <f>TEXT(DaneCC[[#This Row],[Data]], "mmmm")</f>
        <v>styczeń</v>
      </c>
      <c r="M22" s="28">
        <f>Parametry!$B$1</f>
        <v>0.85</v>
      </c>
      <c r="N22" s="28">
        <f>Parametry!$B$2</f>
        <v>0.8</v>
      </c>
      <c r="O22" s="19">
        <f>DaneCC[[#This Row],[Połączenia przychodzące]] * DaneCC[[#This Row],[Czas obsługi]]</f>
        <v>558735.14347826119</v>
      </c>
    </row>
    <row r="23" spans="1:15" x14ac:dyDescent="0.25">
      <c r="A23" s="5" t="s">
        <v>29</v>
      </c>
      <c r="B23" s="1" t="s">
        <v>7</v>
      </c>
      <c r="C23" s="6">
        <v>902</v>
      </c>
      <c r="D23" s="6">
        <v>895</v>
      </c>
      <c r="E23" s="7">
        <v>7</v>
      </c>
      <c r="F23" s="6">
        <v>602.94078212290503</v>
      </c>
      <c r="G23" s="6">
        <v>10.8</v>
      </c>
      <c r="H23" s="24">
        <v>0.88</v>
      </c>
      <c r="I23" s="8">
        <v>0.94748603351955296</v>
      </c>
      <c r="J23" s="19">
        <f>WEEKDAY(DaneCC[[#This Row],[Data]], 2)</f>
        <v>4</v>
      </c>
      <c r="K23" s="19" t="str">
        <f>TEXT(DaneCC[[#This Row],[Data]], "dddd")</f>
        <v>czwartek</v>
      </c>
      <c r="L23" s="19" t="str">
        <f>TEXT(DaneCC[[#This Row],[Data]], "mmmm")</f>
        <v>styczeń</v>
      </c>
      <c r="M23" s="28">
        <f>Parametry!$B$1</f>
        <v>0.85</v>
      </c>
      <c r="N23" s="28">
        <f>Parametry!$B$2</f>
        <v>0.8</v>
      </c>
      <c r="O23" s="19">
        <f>DaneCC[[#This Row],[Połączenia przychodzące]] * DaneCC[[#This Row],[Czas obsługi]]</f>
        <v>543852.58547486039</v>
      </c>
    </row>
    <row r="24" spans="1:15" x14ac:dyDescent="0.25">
      <c r="A24" s="5" t="s">
        <v>30</v>
      </c>
      <c r="B24" s="1" t="s">
        <v>7</v>
      </c>
      <c r="C24" s="6">
        <v>844</v>
      </c>
      <c r="D24" s="6">
        <v>835</v>
      </c>
      <c r="E24" s="7">
        <v>9</v>
      </c>
      <c r="F24" s="6">
        <v>588.98083832335305</v>
      </c>
      <c r="G24" s="6">
        <v>15.329312424608</v>
      </c>
      <c r="H24" s="24">
        <v>0.85000000000000009</v>
      </c>
      <c r="I24" s="8">
        <v>0.86586826347305401</v>
      </c>
      <c r="J24" s="19">
        <f>WEEKDAY(DaneCC[[#This Row],[Data]], 2)</f>
        <v>5</v>
      </c>
      <c r="K24" s="19" t="str">
        <f>TEXT(DaneCC[[#This Row],[Data]], "dddd")</f>
        <v>piątek</v>
      </c>
      <c r="L24" s="19" t="str">
        <f>TEXT(DaneCC[[#This Row],[Data]], "mmmm")</f>
        <v>styczeń</v>
      </c>
      <c r="M24" s="28">
        <f>Parametry!$B$1</f>
        <v>0.85</v>
      </c>
      <c r="N24" s="28">
        <f>Parametry!$B$2</f>
        <v>0.8</v>
      </c>
      <c r="O24" s="19">
        <f>DaneCC[[#This Row],[Połączenia przychodzące]] * DaneCC[[#This Row],[Czas obsługi]]</f>
        <v>497099.82754490996</v>
      </c>
    </row>
    <row r="25" spans="1:15" x14ac:dyDescent="0.25">
      <c r="A25" s="5" t="s">
        <v>31</v>
      </c>
      <c r="B25" s="1" t="s">
        <v>7</v>
      </c>
      <c r="C25" s="6">
        <v>182</v>
      </c>
      <c r="D25" s="6">
        <v>131</v>
      </c>
      <c r="E25" s="7">
        <v>51</v>
      </c>
      <c r="F25" s="6">
        <v>548.31297709923695</v>
      </c>
      <c r="G25" s="6">
        <v>176.84615384615401</v>
      </c>
      <c r="H25" s="24">
        <v>0.81</v>
      </c>
      <c r="I25" s="8">
        <v>0.40458015267175601</v>
      </c>
      <c r="J25" s="19">
        <f>WEEKDAY(DaneCC[[#This Row],[Data]], 2)</f>
        <v>6</v>
      </c>
      <c r="K25" s="19" t="str">
        <f>TEXT(DaneCC[[#This Row],[Data]], "dddd")</f>
        <v>sobota</v>
      </c>
      <c r="L25" s="19" t="str">
        <f>TEXT(DaneCC[[#This Row],[Data]], "mmmm")</f>
        <v>styczeń</v>
      </c>
      <c r="M25" s="28">
        <f>Parametry!$B$1</f>
        <v>0.85</v>
      </c>
      <c r="N25" s="28">
        <f>Parametry!$B$2</f>
        <v>0.8</v>
      </c>
      <c r="O25" s="19">
        <f>DaneCC[[#This Row],[Połączenia przychodzące]] * DaneCC[[#This Row],[Czas obsługi]]</f>
        <v>99792.961832061119</v>
      </c>
    </row>
    <row r="26" spans="1:15" x14ac:dyDescent="0.25">
      <c r="A26" s="5" t="s">
        <v>32</v>
      </c>
      <c r="B26" s="1" t="s">
        <v>7</v>
      </c>
      <c r="C26" s="6">
        <v>141</v>
      </c>
      <c r="D26" s="6">
        <v>108</v>
      </c>
      <c r="E26" s="7">
        <v>33</v>
      </c>
      <c r="F26" s="6">
        <v>470.5</v>
      </c>
      <c r="G26" s="6">
        <v>182.166666666667</v>
      </c>
      <c r="H26" s="24">
        <v>0.88</v>
      </c>
      <c r="I26" s="8">
        <v>0.48148148148148101</v>
      </c>
      <c r="J26" s="19">
        <f>WEEKDAY(DaneCC[[#This Row],[Data]], 2)</f>
        <v>7</v>
      </c>
      <c r="K26" s="19" t="str">
        <f>TEXT(DaneCC[[#This Row],[Data]], "dddd")</f>
        <v>niedziela</v>
      </c>
      <c r="L26" s="19" t="str">
        <f>TEXT(DaneCC[[#This Row],[Data]], "mmmm")</f>
        <v>styczeń</v>
      </c>
      <c r="M26" s="28">
        <f>Parametry!$B$1</f>
        <v>0.85</v>
      </c>
      <c r="N26" s="28">
        <f>Parametry!$B$2</f>
        <v>0.8</v>
      </c>
      <c r="O26" s="19">
        <f>DaneCC[[#This Row],[Połączenia przychodzące]] * DaneCC[[#This Row],[Czas obsługi]]</f>
        <v>66340.5</v>
      </c>
    </row>
    <row r="27" spans="1:15" x14ac:dyDescent="0.25">
      <c r="A27" s="5" t="s">
        <v>33</v>
      </c>
      <c r="B27" s="1" t="s">
        <v>7</v>
      </c>
      <c r="C27" s="6">
        <v>1296</v>
      </c>
      <c r="D27" s="6">
        <v>1211</v>
      </c>
      <c r="E27" s="7">
        <v>85</v>
      </c>
      <c r="F27" s="6">
        <v>492.649050371594</v>
      </c>
      <c r="G27" s="6">
        <v>53.860465116279101</v>
      </c>
      <c r="H27" s="24">
        <v>0.81</v>
      </c>
      <c r="I27" s="8">
        <v>0.73162675474814198</v>
      </c>
      <c r="J27" s="19">
        <f>WEEKDAY(DaneCC[[#This Row],[Data]], 2)</f>
        <v>1</v>
      </c>
      <c r="K27" s="19" t="str">
        <f>TEXT(DaneCC[[#This Row],[Data]], "dddd")</f>
        <v>poniedziałek</v>
      </c>
      <c r="L27" s="19" t="str">
        <f>TEXT(DaneCC[[#This Row],[Data]], "mmmm")</f>
        <v>styczeń</v>
      </c>
      <c r="M27" s="28">
        <f>Parametry!$B$1</f>
        <v>0.85</v>
      </c>
      <c r="N27" s="28">
        <f>Parametry!$B$2</f>
        <v>0.8</v>
      </c>
      <c r="O27" s="19">
        <f>DaneCC[[#This Row],[Połączenia przychodzące]] * DaneCC[[#This Row],[Czas obsługi]]</f>
        <v>638473.16928158584</v>
      </c>
    </row>
    <row r="28" spans="1:15" x14ac:dyDescent="0.25">
      <c r="A28" s="5" t="s">
        <v>34</v>
      </c>
      <c r="B28" s="1" t="s">
        <v>7</v>
      </c>
      <c r="C28" s="6">
        <v>897</v>
      </c>
      <c r="D28" s="6">
        <v>896</v>
      </c>
      <c r="E28" s="7">
        <v>1</v>
      </c>
      <c r="F28" s="6">
        <v>540.265625</v>
      </c>
      <c r="G28" s="6">
        <v>14.082299887260399</v>
      </c>
      <c r="H28" s="24">
        <v>0.82000000000000006</v>
      </c>
      <c r="I28" s="8">
        <v>0.9296875</v>
      </c>
      <c r="J28" s="19">
        <f>WEEKDAY(DaneCC[[#This Row],[Data]], 2)</f>
        <v>2</v>
      </c>
      <c r="K28" s="19" t="str">
        <f>TEXT(DaneCC[[#This Row],[Data]], "dddd")</f>
        <v>wtorek</v>
      </c>
      <c r="L28" s="19" t="str">
        <f>TEXT(DaneCC[[#This Row],[Data]], "mmmm")</f>
        <v>styczeń</v>
      </c>
      <c r="M28" s="28">
        <f>Parametry!$B$1</f>
        <v>0.85</v>
      </c>
      <c r="N28" s="28">
        <f>Parametry!$B$2</f>
        <v>0.8</v>
      </c>
      <c r="O28" s="19">
        <f>DaneCC[[#This Row],[Połączenia przychodzące]] * DaneCC[[#This Row],[Czas obsługi]]</f>
        <v>484618.265625</v>
      </c>
    </row>
    <row r="29" spans="1:15" x14ac:dyDescent="0.25">
      <c r="A29" s="5" t="s">
        <v>35</v>
      </c>
      <c r="B29" s="1" t="s">
        <v>7</v>
      </c>
      <c r="C29" s="6">
        <v>919</v>
      </c>
      <c r="D29" s="6">
        <v>890</v>
      </c>
      <c r="E29" s="7">
        <v>29</v>
      </c>
      <c r="F29" s="6">
        <v>564.26853932584299</v>
      </c>
      <c r="G29" s="6">
        <v>25.300675675675699</v>
      </c>
      <c r="H29" s="24">
        <v>0.85000000000000009</v>
      </c>
      <c r="I29" s="8">
        <v>0.85617977528089895</v>
      </c>
      <c r="J29" s="19">
        <f>WEEKDAY(DaneCC[[#This Row],[Data]], 2)</f>
        <v>3</v>
      </c>
      <c r="K29" s="19" t="str">
        <f>TEXT(DaneCC[[#This Row],[Data]], "dddd")</f>
        <v>środa</v>
      </c>
      <c r="L29" s="19" t="str">
        <f>TEXT(DaneCC[[#This Row],[Data]], "mmmm")</f>
        <v>styczeń</v>
      </c>
      <c r="M29" s="28">
        <f>Parametry!$B$1</f>
        <v>0.85</v>
      </c>
      <c r="N29" s="28">
        <f>Parametry!$B$2</f>
        <v>0.8</v>
      </c>
      <c r="O29" s="19">
        <f>DaneCC[[#This Row],[Połączenia przychodzące]] * DaneCC[[#This Row],[Czas obsługi]]</f>
        <v>518562.78764044971</v>
      </c>
    </row>
    <row r="30" spans="1:15" x14ac:dyDescent="0.25">
      <c r="A30" s="5" t="s">
        <v>36</v>
      </c>
      <c r="B30" s="1" t="s">
        <v>7</v>
      </c>
      <c r="C30" s="6">
        <v>1083</v>
      </c>
      <c r="D30" s="6">
        <v>1058</v>
      </c>
      <c r="E30" s="7">
        <v>25</v>
      </c>
      <c r="F30" s="6">
        <v>526.87051039697496</v>
      </c>
      <c r="G30" s="6">
        <v>29.860663507108999</v>
      </c>
      <c r="H30" s="24">
        <v>0.88</v>
      </c>
      <c r="I30" s="8">
        <v>0.79584120982986795</v>
      </c>
      <c r="J30" s="19">
        <f>WEEKDAY(DaneCC[[#This Row],[Data]], 2)</f>
        <v>4</v>
      </c>
      <c r="K30" s="19" t="str">
        <f>TEXT(DaneCC[[#This Row],[Data]], "dddd")</f>
        <v>czwartek</v>
      </c>
      <c r="L30" s="19" t="str">
        <f>TEXT(DaneCC[[#This Row],[Data]], "mmmm")</f>
        <v>styczeń</v>
      </c>
      <c r="M30" s="28">
        <f>Parametry!$B$1</f>
        <v>0.85</v>
      </c>
      <c r="N30" s="28">
        <f>Parametry!$B$2</f>
        <v>0.8</v>
      </c>
      <c r="O30" s="19">
        <f>DaneCC[[#This Row],[Połączenia przychodzące]] * DaneCC[[#This Row],[Czas obsługi]]</f>
        <v>570600.76275992393</v>
      </c>
    </row>
    <row r="31" spans="1:15" x14ac:dyDescent="0.25">
      <c r="A31" s="5" t="s">
        <v>37</v>
      </c>
      <c r="B31" s="1" t="s">
        <v>7</v>
      </c>
      <c r="C31" s="6">
        <v>1035</v>
      </c>
      <c r="D31" s="6">
        <v>1006</v>
      </c>
      <c r="E31" s="7">
        <v>29</v>
      </c>
      <c r="F31" s="6">
        <v>546.81212723658098</v>
      </c>
      <c r="G31" s="6">
        <v>31.0110220440882</v>
      </c>
      <c r="H31" s="24">
        <v>0.85000000000000009</v>
      </c>
      <c r="I31" s="8">
        <v>0.75447316103379702</v>
      </c>
      <c r="J31" s="19">
        <f>WEEKDAY(DaneCC[[#This Row],[Data]], 2)</f>
        <v>5</v>
      </c>
      <c r="K31" s="19" t="str">
        <f>TEXT(DaneCC[[#This Row],[Data]], "dddd")</f>
        <v>piątek</v>
      </c>
      <c r="L31" s="19" t="str">
        <f>TEXT(DaneCC[[#This Row],[Data]], "mmmm")</f>
        <v>styczeń</v>
      </c>
      <c r="M31" s="28">
        <f>Parametry!$B$1</f>
        <v>0.85</v>
      </c>
      <c r="N31" s="28">
        <f>Parametry!$B$2</f>
        <v>0.8</v>
      </c>
      <c r="O31" s="19">
        <f>DaneCC[[#This Row],[Połączenia przychodzące]] * DaneCC[[#This Row],[Czas obsługi]]</f>
        <v>565950.55168986134</v>
      </c>
    </row>
    <row r="32" spans="1:15" x14ac:dyDescent="0.25">
      <c r="A32" s="5" t="s">
        <v>38</v>
      </c>
      <c r="B32" s="1" t="s">
        <v>7</v>
      </c>
      <c r="C32" s="6">
        <v>171</v>
      </c>
      <c r="D32" s="6">
        <v>123</v>
      </c>
      <c r="E32" s="7">
        <v>48</v>
      </c>
      <c r="F32" s="6">
        <v>648.82113821138205</v>
      </c>
      <c r="G32" s="6">
        <v>218.760330578512</v>
      </c>
      <c r="H32" s="24">
        <v>0.84000000000000008</v>
      </c>
      <c r="I32" s="8">
        <v>0.39024390243902402</v>
      </c>
      <c r="J32" s="19">
        <f>WEEKDAY(DaneCC[[#This Row],[Data]], 2)</f>
        <v>6</v>
      </c>
      <c r="K32" s="19" t="str">
        <f>TEXT(DaneCC[[#This Row],[Data]], "dddd")</f>
        <v>sobota</v>
      </c>
      <c r="L32" s="19" t="str">
        <f>TEXT(DaneCC[[#This Row],[Data]], "mmmm")</f>
        <v>styczeń</v>
      </c>
      <c r="M32" s="28">
        <f>Parametry!$B$1</f>
        <v>0.85</v>
      </c>
      <c r="N32" s="28">
        <f>Parametry!$B$2</f>
        <v>0.8</v>
      </c>
      <c r="O32" s="19">
        <f>DaneCC[[#This Row],[Połączenia przychodzące]] * DaneCC[[#This Row],[Czas obsługi]]</f>
        <v>110948.41463414633</v>
      </c>
    </row>
    <row r="33" spans="1:15" x14ac:dyDescent="0.25">
      <c r="A33" s="5" t="s">
        <v>39</v>
      </c>
      <c r="B33" s="1" t="s">
        <v>7</v>
      </c>
      <c r="C33" s="6">
        <v>138</v>
      </c>
      <c r="D33" s="6">
        <v>98</v>
      </c>
      <c r="E33" s="7">
        <v>40</v>
      </c>
      <c r="F33" s="6">
        <v>589.67346938775495</v>
      </c>
      <c r="G33" s="6">
        <v>130.07446808510599</v>
      </c>
      <c r="H33" s="24">
        <v>0.83000000000000007</v>
      </c>
      <c r="I33" s="8">
        <v>0.52040816326530603</v>
      </c>
      <c r="J33" s="19">
        <f>WEEKDAY(DaneCC[[#This Row],[Data]], 2)</f>
        <v>7</v>
      </c>
      <c r="K33" s="19" t="str">
        <f>TEXT(DaneCC[[#This Row],[Data]], "dddd")</f>
        <v>niedziela</v>
      </c>
      <c r="L33" s="19" t="str">
        <f>TEXT(DaneCC[[#This Row],[Data]], "mmmm")</f>
        <v>luty</v>
      </c>
      <c r="M33" s="28">
        <f>Parametry!$B$1</f>
        <v>0.85</v>
      </c>
      <c r="N33" s="28">
        <f>Parametry!$B$2</f>
        <v>0.8</v>
      </c>
      <c r="O33" s="19">
        <f>DaneCC[[#This Row],[Połączenia przychodzące]] * DaneCC[[#This Row],[Czas obsługi]]</f>
        <v>81374.938775510178</v>
      </c>
    </row>
    <row r="34" spans="1:15" x14ac:dyDescent="0.25">
      <c r="A34" s="5" t="s">
        <v>40</v>
      </c>
      <c r="B34" s="1" t="s">
        <v>7</v>
      </c>
      <c r="C34" s="6">
        <v>1400</v>
      </c>
      <c r="D34" s="6">
        <v>1300</v>
      </c>
      <c r="E34" s="7">
        <v>100</v>
      </c>
      <c r="F34" s="6">
        <v>524.99846153846204</v>
      </c>
      <c r="G34" s="6">
        <v>67.315707620528798</v>
      </c>
      <c r="H34" s="24">
        <v>0.82000000000000006</v>
      </c>
      <c r="I34" s="8">
        <v>0.57769230769230795</v>
      </c>
      <c r="J34" s="19">
        <f>WEEKDAY(DaneCC[[#This Row],[Data]], 2)</f>
        <v>1</v>
      </c>
      <c r="K34" s="19" t="str">
        <f>TEXT(DaneCC[[#This Row],[Data]], "dddd")</f>
        <v>poniedziałek</v>
      </c>
      <c r="L34" s="19" t="str">
        <f>TEXT(DaneCC[[#This Row],[Data]], "mmmm")</f>
        <v>luty</v>
      </c>
      <c r="M34" s="28">
        <f>Parametry!$B$1</f>
        <v>0.85</v>
      </c>
      <c r="N34" s="28">
        <f>Parametry!$B$2</f>
        <v>0.8</v>
      </c>
      <c r="O34" s="19">
        <f>DaneCC[[#This Row],[Połączenia przychodzące]] * DaneCC[[#This Row],[Czas obsługi]]</f>
        <v>734997.84615384683</v>
      </c>
    </row>
    <row r="35" spans="1:15" x14ac:dyDescent="0.25">
      <c r="A35" s="5" t="s">
        <v>41</v>
      </c>
      <c r="B35" s="1" t="s">
        <v>7</v>
      </c>
      <c r="C35" s="6">
        <v>991</v>
      </c>
      <c r="D35" s="6">
        <v>984</v>
      </c>
      <c r="E35" s="7">
        <v>7</v>
      </c>
      <c r="F35" s="6">
        <v>554.73475609756099</v>
      </c>
      <c r="G35" s="6">
        <v>23.831275720164601</v>
      </c>
      <c r="H35" s="24">
        <v>0.88</v>
      </c>
      <c r="I35" s="8">
        <v>0.82723577235772405</v>
      </c>
      <c r="J35" s="19">
        <f>WEEKDAY(DaneCC[[#This Row],[Data]], 2)</f>
        <v>2</v>
      </c>
      <c r="K35" s="19" t="str">
        <f>TEXT(DaneCC[[#This Row],[Data]], "dddd")</f>
        <v>wtorek</v>
      </c>
      <c r="L35" s="19" t="str">
        <f>TEXT(DaneCC[[#This Row],[Data]], "mmmm")</f>
        <v>luty</v>
      </c>
      <c r="M35" s="28">
        <f>Parametry!$B$1</f>
        <v>0.85</v>
      </c>
      <c r="N35" s="28">
        <f>Parametry!$B$2</f>
        <v>0.8</v>
      </c>
      <c r="O35" s="19">
        <f>DaneCC[[#This Row],[Połączenia przychodzące]] * DaneCC[[#This Row],[Czas obsługi]]</f>
        <v>549742.14329268294</v>
      </c>
    </row>
    <row r="36" spans="1:15" x14ac:dyDescent="0.25">
      <c r="A36" s="5" t="s">
        <v>42</v>
      </c>
      <c r="B36" s="1" t="s">
        <v>7</v>
      </c>
      <c r="C36" s="6">
        <v>1161</v>
      </c>
      <c r="D36" s="6">
        <v>1142</v>
      </c>
      <c r="E36" s="7">
        <v>19</v>
      </c>
      <c r="F36" s="6">
        <v>558.93169877408104</v>
      </c>
      <c r="G36" s="6">
        <v>34.832599118942703</v>
      </c>
      <c r="H36" s="24">
        <v>0.88</v>
      </c>
      <c r="I36" s="8">
        <v>0.71103327495621704</v>
      </c>
      <c r="J36" s="19">
        <f>WEEKDAY(DaneCC[[#This Row],[Data]], 2)</f>
        <v>3</v>
      </c>
      <c r="K36" s="19" t="str">
        <f>TEXT(DaneCC[[#This Row],[Data]], "dddd")</f>
        <v>środa</v>
      </c>
      <c r="L36" s="19" t="str">
        <f>TEXT(DaneCC[[#This Row],[Data]], "mmmm")</f>
        <v>luty</v>
      </c>
      <c r="M36" s="28">
        <f>Parametry!$B$1</f>
        <v>0.85</v>
      </c>
      <c r="N36" s="28">
        <f>Parametry!$B$2</f>
        <v>0.8</v>
      </c>
      <c r="O36" s="19">
        <f>DaneCC[[#This Row],[Połączenia przychodzące]] * DaneCC[[#This Row],[Czas obsługi]]</f>
        <v>648919.70227670809</v>
      </c>
    </row>
    <row r="37" spans="1:15" x14ac:dyDescent="0.25">
      <c r="A37" s="5" t="s">
        <v>43</v>
      </c>
      <c r="B37" s="1" t="s">
        <v>7</v>
      </c>
      <c r="C37" s="6">
        <v>967</v>
      </c>
      <c r="D37" s="6">
        <v>956</v>
      </c>
      <c r="E37" s="7">
        <v>11</v>
      </c>
      <c r="F37" s="6">
        <v>570.17677824267798</v>
      </c>
      <c r="G37" s="6">
        <v>25.762105263157899</v>
      </c>
      <c r="H37" s="24">
        <v>0.88</v>
      </c>
      <c r="I37" s="8">
        <v>0.84937238493723899</v>
      </c>
      <c r="J37" s="19">
        <f>WEEKDAY(DaneCC[[#This Row],[Data]], 2)</f>
        <v>4</v>
      </c>
      <c r="K37" s="19" t="str">
        <f>TEXT(DaneCC[[#This Row],[Data]], "dddd")</f>
        <v>czwartek</v>
      </c>
      <c r="L37" s="19" t="str">
        <f>TEXT(DaneCC[[#This Row],[Data]], "mmmm")</f>
        <v>luty</v>
      </c>
      <c r="M37" s="28">
        <f>Parametry!$B$1</f>
        <v>0.85</v>
      </c>
      <c r="N37" s="28">
        <f>Parametry!$B$2</f>
        <v>0.8</v>
      </c>
      <c r="O37" s="19">
        <f>DaneCC[[#This Row],[Połączenia przychodzące]] * DaneCC[[#This Row],[Czas obsługi]]</f>
        <v>551360.9445606696</v>
      </c>
    </row>
    <row r="38" spans="1:15" x14ac:dyDescent="0.25">
      <c r="A38" s="5" t="s">
        <v>44</v>
      </c>
      <c r="B38" s="1" t="s">
        <v>7</v>
      </c>
      <c r="C38" s="6">
        <v>917</v>
      </c>
      <c r="D38" s="6">
        <v>898</v>
      </c>
      <c r="E38" s="7">
        <v>19</v>
      </c>
      <c r="F38" s="6">
        <v>548.455456570156</v>
      </c>
      <c r="G38" s="6">
        <v>23.660292463442101</v>
      </c>
      <c r="H38" s="24">
        <v>0.88</v>
      </c>
      <c r="I38" s="8">
        <v>0.84187082405345204</v>
      </c>
      <c r="J38" s="19">
        <f>WEEKDAY(DaneCC[[#This Row],[Data]], 2)</f>
        <v>5</v>
      </c>
      <c r="K38" s="19" t="str">
        <f>TEXT(DaneCC[[#This Row],[Data]], "dddd")</f>
        <v>piątek</v>
      </c>
      <c r="L38" s="19" t="str">
        <f>TEXT(DaneCC[[#This Row],[Data]], "mmmm")</f>
        <v>luty</v>
      </c>
      <c r="M38" s="28">
        <f>Parametry!$B$1</f>
        <v>0.85</v>
      </c>
      <c r="N38" s="28">
        <f>Parametry!$B$2</f>
        <v>0.8</v>
      </c>
      <c r="O38" s="19">
        <f>DaneCC[[#This Row],[Połączenia przychodzące]] * DaneCC[[#This Row],[Czas obsługi]]</f>
        <v>502933.65367483307</v>
      </c>
    </row>
    <row r="39" spans="1:15" x14ac:dyDescent="0.25">
      <c r="A39" s="5" t="s">
        <v>45</v>
      </c>
      <c r="B39" s="1" t="s">
        <v>7</v>
      </c>
      <c r="C39" s="6">
        <v>193</v>
      </c>
      <c r="D39" s="6">
        <v>133</v>
      </c>
      <c r="E39" s="7">
        <v>60</v>
      </c>
      <c r="F39" s="6">
        <v>523.79699248120301</v>
      </c>
      <c r="G39" s="6">
        <v>237.43939393939399</v>
      </c>
      <c r="H39" s="24">
        <v>0.89</v>
      </c>
      <c r="I39" s="8">
        <v>0.42857142857142899</v>
      </c>
      <c r="J39" s="19">
        <f>WEEKDAY(DaneCC[[#This Row],[Data]], 2)</f>
        <v>6</v>
      </c>
      <c r="K39" s="19" t="str">
        <f>TEXT(DaneCC[[#This Row],[Data]], "dddd")</f>
        <v>sobota</v>
      </c>
      <c r="L39" s="19" t="str">
        <f>TEXT(DaneCC[[#This Row],[Data]], "mmmm")</f>
        <v>luty</v>
      </c>
      <c r="M39" s="28">
        <f>Parametry!$B$1</f>
        <v>0.85</v>
      </c>
      <c r="N39" s="28">
        <f>Parametry!$B$2</f>
        <v>0.8</v>
      </c>
      <c r="O39" s="19">
        <f>DaneCC[[#This Row],[Połączenia przychodzące]] * DaneCC[[#This Row],[Czas obsługi]]</f>
        <v>101092.81954887218</v>
      </c>
    </row>
    <row r="40" spans="1:15" x14ac:dyDescent="0.25">
      <c r="A40" s="5" t="s">
        <v>46</v>
      </c>
      <c r="B40" s="1" t="s">
        <v>7</v>
      </c>
      <c r="C40" s="6">
        <v>144</v>
      </c>
      <c r="D40" s="6">
        <v>120</v>
      </c>
      <c r="E40" s="7">
        <v>24</v>
      </c>
      <c r="F40" s="6">
        <v>418.14166666666699</v>
      </c>
      <c r="G40" s="6">
        <v>90.1666666666667</v>
      </c>
      <c r="H40" s="24">
        <v>0.82000000000000006</v>
      </c>
      <c r="I40" s="8">
        <v>0.59166666666666701</v>
      </c>
      <c r="J40" s="19">
        <f>WEEKDAY(DaneCC[[#This Row],[Data]], 2)</f>
        <v>7</v>
      </c>
      <c r="K40" s="19" t="str">
        <f>TEXT(DaneCC[[#This Row],[Data]], "dddd")</f>
        <v>niedziela</v>
      </c>
      <c r="L40" s="19" t="str">
        <f>TEXT(DaneCC[[#This Row],[Data]], "mmmm")</f>
        <v>luty</v>
      </c>
      <c r="M40" s="28">
        <f>Parametry!$B$1</f>
        <v>0.85</v>
      </c>
      <c r="N40" s="28">
        <f>Parametry!$B$2</f>
        <v>0.8</v>
      </c>
      <c r="O40" s="19">
        <f>DaneCC[[#This Row],[Połączenia przychodzące]] * DaneCC[[#This Row],[Czas obsługi]]</f>
        <v>60212.400000000045</v>
      </c>
    </row>
    <row r="41" spans="1:15" x14ac:dyDescent="0.25">
      <c r="A41" s="5" t="s">
        <v>47</v>
      </c>
      <c r="B41" s="1" t="s">
        <v>7</v>
      </c>
      <c r="C41" s="6">
        <v>1072</v>
      </c>
      <c r="D41" s="6">
        <v>1064</v>
      </c>
      <c r="E41" s="7">
        <v>8</v>
      </c>
      <c r="F41" s="6">
        <v>543.85338345864704</v>
      </c>
      <c r="G41" s="6">
        <v>13.990574929312</v>
      </c>
      <c r="H41" s="24">
        <v>0.89</v>
      </c>
      <c r="I41" s="8">
        <v>0.88815789473684204</v>
      </c>
      <c r="J41" s="19">
        <f>WEEKDAY(DaneCC[[#This Row],[Data]], 2)</f>
        <v>1</v>
      </c>
      <c r="K41" s="19" t="str">
        <f>TEXT(DaneCC[[#This Row],[Data]], "dddd")</f>
        <v>poniedziałek</v>
      </c>
      <c r="L41" s="19" t="str">
        <f>TEXT(DaneCC[[#This Row],[Data]], "mmmm")</f>
        <v>luty</v>
      </c>
      <c r="M41" s="28">
        <f>Parametry!$B$1</f>
        <v>0.85</v>
      </c>
      <c r="N41" s="28">
        <f>Parametry!$B$2</f>
        <v>0.8</v>
      </c>
      <c r="O41" s="19">
        <f>DaneCC[[#This Row],[Połączenia przychodzące]] * DaneCC[[#This Row],[Czas obsługi]]</f>
        <v>583010.8270676696</v>
      </c>
    </row>
    <row r="42" spans="1:15" x14ac:dyDescent="0.25">
      <c r="A42" s="5" t="s">
        <v>48</v>
      </c>
      <c r="B42" s="1" t="s">
        <v>7</v>
      </c>
      <c r="C42" s="6">
        <v>1026</v>
      </c>
      <c r="D42" s="6">
        <v>1007</v>
      </c>
      <c r="E42" s="7">
        <v>19</v>
      </c>
      <c r="F42" s="6">
        <v>538.78252234359502</v>
      </c>
      <c r="G42" s="6">
        <v>19.178286852589601</v>
      </c>
      <c r="H42" s="24">
        <v>0.86</v>
      </c>
      <c r="I42" s="8">
        <v>0.92552135054617701</v>
      </c>
      <c r="J42" s="19">
        <f>WEEKDAY(DaneCC[[#This Row],[Data]], 2)</f>
        <v>2</v>
      </c>
      <c r="K42" s="19" t="str">
        <f>TEXT(DaneCC[[#This Row],[Data]], "dddd")</f>
        <v>wtorek</v>
      </c>
      <c r="L42" s="19" t="str">
        <f>TEXT(DaneCC[[#This Row],[Data]], "mmmm")</f>
        <v>luty</v>
      </c>
      <c r="M42" s="28">
        <f>Parametry!$B$1</f>
        <v>0.85</v>
      </c>
      <c r="N42" s="28">
        <f>Parametry!$B$2</f>
        <v>0.8</v>
      </c>
      <c r="O42" s="19">
        <f>DaneCC[[#This Row],[Połączenia przychodzące]] * DaneCC[[#This Row],[Czas obsługi]]</f>
        <v>552790.86792452855</v>
      </c>
    </row>
    <row r="43" spans="1:15" x14ac:dyDescent="0.25">
      <c r="A43" s="5" t="s">
        <v>49</v>
      </c>
      <c r="B43" s="1" t="s">
        <v>7</v>
      </c>
      <c r="C43" s="6">
        <v>929</v>
      </c>
      <c r="D43" s="6">
        <v>894</v>
      </c>
      <c r="E43" s="7">
        <v>35</v>
      </c>
      <c r="F43" s="6">
        <v>580.89373601789703</v>
      </c>
      <c r="G43" s="6">
        <v>35.421171171171203</v>
      </c>
      <c r="H43" s="24">
        <v>0.88</v>
      </c>
      <c r="I43" s="8">
        <v>0.78635346756152102</v>
      </c>
      <c r="J43" s="19">
        <f>WEEKDAY(DaneCC[[#This Row],[Data]], 2)</f>
        <v>3</v>
      </c>
      <c r="K43" s="19" t="str">
        <f>TEXT(DaneCC[[#This Row],[Data]], "dddd")</f>
        <v>środa</v>
      </c>
      <c r="L43" s="19" t="str">
        <f>TEXT(DaneCC[[#This Row],[Data]], "mmmm")</f>
        <v>luty</v>
      </c>
      <c r="M43" s="28">
        <f>Parametry!$B$1</f>
        <v>0.85</v>
      </c>
      <c r="N43" s="28">
        <f>Parametry!$B$2</f>
        <v>0.8</v>
      </c>
      <c r="O43" s="19">
        <f>DaneCC[[#This Row],[Połączenia przychodzące]] * DaneCC[[#This Row],[Czas obsługi]]</f>
        <v>539650.28076062631</v>
      </c>
    </row>
    <row r="44" spans="1:15" x14ac:dyDescent="0.25">
      <c r="A44" s="5" t="s">
        <v>50</v>
      </c>
      <c r="B44" s="1" t="s">
        <v>7</v>
      </c>
      <c r="C44" s="6">
        <v>930</v>
      </c>
      <c r="D44" s="6">
        <v>907</v>
      </c>
      <c r="E44" s="7">
        <v>23</v>
      </c>
      <c r="F44" s="6">
        <v>540.44101433296601</v>
      </c>
      <c r="G44" s="6">
        <v>29.168327796234799</v>
      </c>
      <c r="H44" s="24">
        <v>0.81</v>
      </c>
      <c r="I44" s="8">
        <v>0.78169790518191795</v>
      </c>
      <c r="J44" s="19">
        <f>WEEKDAY(DaneCC[[#This Row],[Data]], 2)</f>
        <v>4</v>
      </c>
      <c r="K44" s="19" t="str">
        <f>TEXT(DaneCC[[#This Row],[Data]], "dddd")</f>
        <v>czwartek</v>
      </c>
      <c r="L44" s="19" t="str">
        <f>TEXT(DaneCC[[#This Row],[Data]], "mmmm")</f>
        <v>luty</v>
      </c>
      <c r="M44" s="28">
        <f>Parametry!$B$1</f>
        <v>0.85</v>
      </c>
      <c r="N44" s="28">
        <f>Parametry!$B$2</f>
        <v>0.8</v>
      </c>
      <c r="O44" s="19">
        <f>DaneCC[[#This Row],[Połączenia przychodzące]] * DaneCC[[#This Row],[Czas obsługi]]</f>
        <v>502610.14332965837</v>
      </c>
    </row>
    <row r="45" spans="1:15" x14ac:dyDescent="0.25">
      <c r="A45" s="5" t="s">
        <v>51</v>
      </c>
      <c r="B45" s="1" t="s">
        <v>7</v>
      </c>
      <c r="C45" s="6">
        <v>811</v>
      </c>
      <c r="D45" s="6">
        <v>812</v>
      </c>
      <c r="E45" s="7">
        <v>-1</v>
      </c>
      <c r="F45" s="6">
        <v>506.85467980295601</v>
      </c>
      <c r="G45" s="6">
        <v>9.6101485148514794</v>
      </c>
      <c r="H45" s="24">
        <v>0.87</v>
      </c>
      <c r="I45" s="8">
        <v>0.951970443349754</v>
      </c>
      <c r="J45" s="19">
        <f>WEEKDAY(DaneCC[[#This Row],[Data]], 2)</f>
        <v>5</v>
      </c>
      <c r="K45" s="19" t="str">
        <f>TEXT(DaneCC[[#This Row],[Data]], "dddd")</f>
        <v>piątek</v>
      </c>
      <c r="L45" s="19" t="str">
        <f>TEXT(DaneCC[[#This Row],[Data]], "mmmm")</f>
        <v>luty</v>
      </c>
      <c r="M45" s="28">
        <f>Parametry!$B$1</f>
        <v>0.85</v>
      </c>
      <c r="N45" s="28">
        <f>Parametry!$B$2</f>
        <v>0.8</v>
      </c>
      <c r="O45" s="19">
        <f>DaneCC[[#This Row],[Połączenia przychodzące]] * DaneCC[[#This Row],[Czas obsługi]]</f>
        <v>411059.14532019733</v>
      </c>
    </row>
    <row r="46" spans="1:15" x14ac:dyDescent="0.25">
      <c r="A46" s="5" t="s">
        <v>52</v>
      </c>
      <c r="B46" s="1" t="s">
        <v>7</v>
      </c>
      <c r="C46" s="6">
        <v>141</v>
      </c>
      <c r="D46" s="6">
        <v>112</v>
      </c>
      <c r="E46" s="7">
        <v>29</v>
      </c>
      <c r="F46" s="6">
        <v>526.96428571428601</v>
      </c>
      <c r="G46" s="6">
        <v>131.40366972477099</v>
      </c>
      <c r="H46" s="24">
        <v>0.83000000000000007</v>
      </c>
      <c r="I46" s="8">
        <v>0.61607142857142905</v>
      </c>
      <c r="J46" s="19">
        <f>WEEKDAY(DaneCC[[#This Row],[Data]], 2)</f>
        <v>6</v>
      </c>
      <c r="K46" s="19" t="str">
        <f>TEXT(DaneCC[[#This Row],[Data]], "dddd")</f>
        <v>sobota</v>
      </c>
      <c r="L46" s="19" t="str">
        <f>TEXT(DaneCC[[#This Row],[Data]], "mmmm")</f>
        <v>luty</v>
      </c>
      <c r="M46" s="28">
        <f>Parametry!$B$1</f>
        <v>0.85</v>
      </c>
      <c r="N46" s="28">
        <f>Parametry!$B$2</f>
        <v>0.8</v>
      </c>
      <c r="O46" s="19">
        <f>DaneCC[[#This Row],[Połączenia przychodzące]] * DaneCC[[#This Row],[Czas obsługi]]</f>
        <v>74301.964285714334</v>
      </c>
    </row>
    <row r="47" spans="1:15" x14ac:dyDescent="0.25">
      <c r="A47" s="5" t="s">
        <v>53</v>
      </c>
      <c r="B47" s="1" t="s">
        <v>7</v>
      </c>
      <c r="C47" s="6">
        <v>110</v>
      </c>
      <c r="D47" s="6">
        <v>104</v>
      </c>
      <c r="E47" s="7">
        <v>6</v>
      </c>
      <c r="F47" s="6">
        <v>386.711538461538</v>
      </c>
      <c r="G47" s="6">
        <v>106.5</v>
      </c>
      <c r="H47" s="24">
        <v>0.83000000000000007</v>
      </c>
      <c r="I47" s="8">
        <v>0.61538461538461497</v>
      </c>
      <c r="J47" s="19">
        <f>WEEKDAY(DaneCC[[#This Row],[Data]], 2)</f>
        <v>7</v>
      </c>
      <c r="K47" s="19" t="str">
        <f>TEXT(DaneCC[[#This Row],[Data]], "dddd")</f>
        <v>niedziela</v>
      </c>
      <c r="L47" s="19" t="str">
        <f>TEXT(DaneCC[[#This Row],[Data]], "mmmm")</f>
        <v>luty</v>
      </c>
      <c r="M47" s="28">
        <f>Parametry!$B$1</f>
        <v>0.85</v>
      </c>
      <c r="N47" s="28">
        <f>Parametry!$B$2</f>
        <v>0.8</v>
      </c>
      <c r="O47" s="19">
        <f>DaneCC[[#This Row],[Połączenia przychodzące]] * DaneCC[[#This Row],[Czas obsługi]]</f>
        <v>42538.269230769183</v>
      </c>
    </row>
    <row r="48" spans="1:15" x14ac:dyDescent="0.25">
      <c r="A48" s="5" t="s">
        <v>54</v>
      </c>
      <c r="B48" s="1" t="s">
        <v>7</v>
      </c>
      <c r="C48" s="6">
        <v>928</v>
      </c>
      <c r="D48" s="6">
        <v>917</v>
      </c>
      <c r="E48" s="7">
        <v>11</v>
      </c>
      <c r="F48" s="6">
        <v>545.29334787350103</v>
      </c>
      <c r="G48" s="6">
        <v>14.973684210526301</v>
      </c>
      <c r="H48" s="24">
        <v>0.87</v>
      </c>
      <c r="I48" s="8">
        <v>0.92475463467829899</v>
      </c>
      <c r="J48" s="19">
        <f>WEEKDAY(DaneCC[[#This Row],[Data]], 2)</f>
        <v>1</v>
      </c>
      <c r="K48" s="19" t="str">
        <f>TEXT(DaneCC[[#This Row],[Data]], "dddd")</f>
        <v>poniedziałek</v>
      </c>
      <c r="L48" s="19" t="str">
        <f>TEXT(DaneCC[[#This Row],[Data]], "mmmm")</f>
        <v>luty</v>
      </c>
      <c r="M48" s="28">
        <f>Parametry!$B$1</f>
        <v>0.85</v>
      </c>
      <c r="N48" s="28">
        <f>Parametry!$B$2</f>
        <v>0.8</v>
      </c>
      <c r="O48" s="19">
        <f>DaneCC[[#This Row],[Połączenia przychodzące]] * DaneCC[[#This Row],[Czas obsługi]]</f>
        <v>506032.22682660894</v>
      </c>
    </row>
    <row r="49" spans="1:15" x14ac:dyDescent="0.25">
      <c r="A49" s="5" t="s">
        <v>55</v>
      </c>
      <c r="B49" s="1" t="s">
        <v>7</v>
      </c>
      <c r="C49" s="6">
        <v>984</v>
      </c>
      <c r="D49" s="6">
        <v>965</v>
      </c>
      <c r="E49" s="7">
        <v>19</v>
      </c>
      <c r="F49" s="6">
        <v>526.18652849740897</v>
      </c>
      <c r="G49" s="6">
        <v>24.294056308654799</v>
      </c>
      <c r="H49" s="24">
        <v>0.82000000000000006</v>
      </c>
      <c r="I49" s="8">
        <v>0.85906735751295304</v>
      </c>
      <c r="J49" s="19">
        <f>WEEKDAY(DaneCC[[#This Row],[Data]], 2)</f>
        <v>2</v>
      </c>
      <c r="K49" s="19" t="str">
        <f>TEXT(DaneCC[[#This Row],[Data]], "dddd")</f>
        <v>wtorek</v>
      </c>
      <c r="L49" s="19" t="str">
        <f>TEXT(DaneCC[[#This Row],[Data]], "mmmm")</f>
        <v>luty</v>
      </c>
      <c r="M49" s="28">
        <f>Parametry!$B$1</f>
        <v>0.85</v>
      </c>
      <c r="N49" s="28">
        <f>Parametry!$B$2</f>
        <v>0.8</v>
      </c>
      <c r="O49" s="19">
        <f>DaneCC[[#This Row],[Połączenia przychodzące]] * DaneCC[[#This Row],[Czas obsługi]]</f>
        <v>517767.54404145043</v>
      </c>
    </row>
    <row r="50" spans="1:15" x14ac:dyDescent="0.25">
      <c r="A50" s="5" t="s">
        <v>56</v>
      </c>
      <c r="B50" s="1" t="s">
        <v>7</v>
      </c>
      <c r="C50" s="6">
        <v>1029</v>
      </c>
      <c r="D50" s="6">
        <v>994</v>
      </c>
      <c r="E50" s="7">
        <v>35</v>
      </c>
      <c r="F50" s="6">
        <v>539.862173038229</v>
      </c>
      <c r="G50" s="6">
        <v>33.4908906882591</v>
      </c>
      <c r="H50" s="24">
        <v>0.86</v>
      </c>
      <c r="I50" s="8">
        <v>0.81187122736418504</v>
      </c>
      <c r="J50" s="19">
        <f>WEEKDAY(DaneCC[[#This Row],[Data]], 2)</f>
        <v>3</v>
      </c>
      <c r="K50" s="19" t="str">
        <f>TEXT(DaneCC[[#This Row],[Data]], "dddd")</f>
        <v>środa</v>
      </c>
      <c r="L50" s="19" t="str">
        <f>TEXT(DaneCC[[#This Row],[Data]], "mmmm")</f>
        <v>luty</v>
      </c>
      <c r="M50" s="28">
        <f>Parametry!$B$1</f>
        <v>0.85</v>
      </c>
      <c r="N50" s="28">
        <f>Parametry!$B$2</f>
        <v>0.8</v>
      </c>
      <c r="O50" s="19">
        <f>DaneCC[[#This Row],[Połączenia przychodzące]] * DaneCC[[#This Row],[Czas obsługi]]</f>
        <v>555518.17605633766</v>
      </c>
    </row>
    <row r="51" spans="1:15" x14ac:dyDescent="0.25">
      <c r="A51" s="5" t="s">
        <v>57</v>
      </c>
      <c r="B51" s="1" t="s">
        <v>7</v>
      </c>
      <c r="C51" s="6">
        <v>1019</v>
      </c>
      <c r="D51" s="6">
        <v>993</v>
      </c>
      <c r="E51" s="7">
        <v>26</v>
      </c>
      <c r="F51" s="6">
        <v>522.39476334340395</v>
      </c>
      <c r="G51" s="6">
        <v>23.6957403651116</v>
      </c>
      <c r="H51" s="24">
        <v>0.86</v>
      </c>
      <c r="I51" s="8">
        <v>0.84290030211480405</v>
      </c>
      <c r="J51" s="19">
        <f>WEEKDAY(DaneCC[[#This Row],[Data]], 2)</f>
        <v>4</v>
      </c>
      <c r="K51" s="19" t="str">
        <f>TEXT(DaneCC[[#This Row],[Data]], "dddd")</f>
        <v>czwartek</v>
      </c>
      <c r="L51" s="19" t="str">
        <f>TEXT(DaneCC[[#This Row],[Data]], "mmmm")</f>
        <v>luty</v>
      </c>
      <c r="M51" s="28">
        <f>Parametry!$B$1</f>
        <v>0.85</v>
      </c>
      <c r="N51" s="28">
        <f>Parametry!$B$2</f>
        <v>0.8</v>
      </c>
      <c r="O51" s="19">
        <f>DaneCC[[#This Row],[Połączenia przychodzące]] * DaneCC[[#This Row],[Czas obsługi]]</f>
        <v>532320.2638469286</v>
      </c>
    </row>
    <row r="52" spans="1:15" x14ac:dyDescent="0.25">
      <c r="A52" s="5" t="s">
        <v>58</v>
      </c>
      <c r="B52" s="1" t="s">
        <v>7</v>
      </c>
      <c r="C52" s="6">
        <v>964</v>
      </c>
      <c r="D52" s="6">
        <v>923</v>
      </c>
      <c r="E52" s="7">
        <v>41</v>
      </c>
      <c r="F52" s="6">
        <v>541.39653304442004</v>
      </c>
      <c r="G52" s="6">
        <v>44.794788273615602</v>
      </c>
      <c r="H52" s="24">
        <v>0.89</v>
      </c>
      <c r="I52" s="8">
        <v>0.76489707475623003</v>
      </c>
      <c r="J52" s="19">
        <f>WEEKDAY(DaneCC[[#This Row],[Data]], 2)</f>
        <v>5</v>
      </c>
      <c r="K52" s="19" t="str">
        <f>TEXT(DaneCC[[#This Row],[Data]], "dddd")</f>
        <v>piątek</v>
      </c>
      <c r="L52" s="19" t="str">
        <f>TEXT(DaneCC[[#This Row],[Data]], "mmmm")</f>
        <v>luty</v>
      </c>
      <c r="M52" s="28">
        <f>Parametry!$B$1</f>
        <v>0.85</v>
      </c>
      <c r="N52" s="28">
        <f>Parametry!$B$2</f>
        <v>0.8</v>
      </c>
      <c r="O52" s="19">
        <f>DaneCC[[#This Row],[Połączenia przychodzące]] * DaneCC[[#This Row],[Czas obsługi]]</f>
        <v>521906.25785482093</v>
      </c>
    </row>
    <row r="53" spans="1:15" x14ac:dyDescent="0.25">
      <c r="A53" s="5" t="s">
        <v>59</v>
      </c>
      <c r="B53" s="1" t="s">
        <v>7</v>
      </c>
      <c r="C53" s="6">
        <v>146</v>
      </c>
      <c r="D53" s="6">
        <v>137</v>
      </c>
      <c r="E53" s="7">
        <v>9</v>
      </c>
      <c r="F53" s="6">
        <v>460.75912408759098</v>
      </c>
      <c r="G53" s="6">
        <v>24.700729927007298</v>
      </c>
      <c r="H53" s="24">
        <v>0.86</v>
      </c>
      <c r="I53" s="8">
        <v>0.88321167883211704</v>
      </c>
      <c r="J53" s="19">
        <f>WEEKDAY(DaneCC[[#This Row],[Data]], 2)</f>
        <v>6</v>
      </c>
      <c r="K53" s="19" t="str">
        <f>TEXT(DaneCC[[#This Row],[Data]], "dddd")</f>
        <v>sobota</v>
      </c>
      <c r="L53" s="19" t="str">
        <f>TEXT(DaneCC[[#This Row],[Data]], "mmmm")</f>
        <v>luty</v>
      </c>
      <c r="M53" s="28">
        <f>Parametry!$B$1</f>
        <v>0.85</v>
      </c>
      <c r="N53" s="28">
        <f>Parametry!$B$2</f>
        <v>0.8</v>
      </c>
      <c r="O53" s="19">
        <f>DaneCC[[#This Row],[Połączenia przychodzące]] * DaneCC[[#This Row],[Czas obsługi]]</f>
        <v>67270.832116788282</v>
      </c>
    </row>
    <row r="54" spans="1:15" x14ac:dyDescent="0.25">
      <c r="A54" s="5" t="s">
        <v>60</v>
      </c>
      <c r="B54" s="1" t="s">
        <v>7</v>
      </c>
      <c r="C54" s="6">
        <v>115</v>
      </c>
      <c r="D54" s="6">
        <v>98</v>
      </c>
      <c r="E54" s="7">
        <v>17</v>
      </c>
      <c r="F54" s="6">
        <v>522.88775510204096</v>
      </c>
      <c r="G54" s="6">
        <v>106.89690721649499</v>
      </c>
      <c r="H54" s="24">
        <v>0.88</v>
      </c>
      <c r="I54" s="8">
        <v>0.60204081632653095</v>
      </c>
      <c r="J54" s="19">
        <f>WEEKDAY(DaneCC[[#This Row],[Data]], 2)</f>
        <v>7</v>
      </c>
      <c r="K54" s="19" t="str">
        <f>TEXT(DaneCC[[#This Row],[Data]], "dddd")</f>
        <v>niedziela</v>
      </c>
      <c r="L54" s="19" t="str">
        <f>TEXT(DaneCC[[#This Row],[Data]], "mmmm")</f>
        <v>luty</v>
      </c>
      <c r="M54" s="28">
        <f>Parametry!$B$1</f>
        <v>0.85</v>
      </c>
      <c r="N54" s="28">
        <f>Parametry!$B$2</f>
        <v>0.8</v>
      </c>
      <c r="O54" s="19">
        <f>DaneCC[[#This Row],[Połączenia przychodzące]] * DaneCC[[#This Row],[Czas obsługi]]</f>
        <v>60132.091836734711</v>
      </c>
    </row>
    <row r="55" spans="1:15" x14ac:dyDescent="0.25">
      <c r="A55" s="5" t="s">
        <v>61</v>
      </c>
      <c r="B55" s="1" t="s">
        <v>7</v>
      </c>
      <c r="C55" s="6">
        <v>1012</v>
      </c>
      <c r="D55" s="6">
        <v>1001</v>
      </c>
      <c r="E55" s="7">
        <v>11</v>
      </c>
      <c r="F55" s="6">
        <v>529.49850149850101</v>
      </c>
      <c r="G55" s="6">
        <v>16.127895266868101</v>
      </c>
      <c r="H55" s="24">
        <v>0.87</v>
      </c>
      <c r="I55" s="8">
        <v>0.89010989010988995</v>
      </c>
      <c r="J55" s="19">
        <f>WEEKDAY(DaneCC[[#This Row],[Data]], 2)</f>
        <v>1</v>
      </c>
      <c r="K55" s="19" t="str">
        <f>TEXT(DaneCC[[#This Row],[Data]], "dddd")</f>
        <v>poniedziałek</v>
      </c>
      <c r="L55" s="19" t="str">
        <f>TEXT(DaneCC[[#This Row],[Data]], "mmmm")</f>
        <v>luty</v>
      </c>
      <c r="M55" s="28">
        <f>Parametry!$B$1</f>
        <v>0.85</v>
      </c>
      <c r="N55" s="28">
        <f>Parametry!$B$2</f>
        <v>0.8</v>
      </c>
      <c r="O55" s="19">
        <f>DaneCC[[#This Row],[Połączenia przychodzące]] * DaneCC[[#This Row],[Czas obsługi]]</f>
        <v>535852.48351648299</v>
      </c>
    </row>
    <row r="56" spans="1:15" x14ac:dyDescent="0.25">
      <c r="A56" s="5" t="s">
        <v>62</v>
      </c>
      <c r="B56" s="1" t="s">
        <v>7</v>
      </c>
      <c r="C56" s="6">
        <v>983</v>
      </c>
      <c r="D56" s="6">
        <v>963</v>
      </c>
      <c r="E56" s="7">
        <v>20</v>
      </c>
      <c r="F56" s="6">
        <v>526.31360332294901</v>
      </c>
      <c r="G56" s="6">
        <v>19.652083333333302</v>
      </c>
      <c r="H56" s="24">
        <v>0.84000000000000008</v>
      </c>
      <c r="I56" s="8">
        <v>0.84527518172378002</v>
      </c>
      <c r="J56" s="19">
        <f>WEEKDAY(DaneCC[[#This Row],[Data]], 2)</f>
        <v>2</v>
      </c>
      <c r="K56" s="19" t="str">
        <f>TEXT(DaneCC[[#This Row],[Data]], "dddd")</f>
        <v>wtorek</v>
      </c>
      <c r="L56" s="19" t="str">
        <f>TEXT(DaneCC[[#This Row],[Data]], "mmmm")</f>
        <v>luty</v>
      </c>
      <c r="M56" s="28">
        <f>Parametry!$B$1</f>
        <v>0.85</v>
      </c>
      <c r="N56" s="28">
        <f>Parametry!$B$2</f>
        <v>0.8</v>
      </c>
      <c r="O56" s="19">
        <f>DaneCC[[#This Row],[Połączenia przychodzące]] * DaneCC[[#This Row],[Czas obsługi]]</f>
        <v>517366.27206645889</v>
      </c>
    </row>
    <row r="57" spans="1:15" x14ac:dyDescent="0.25">
      <c r="A57" s="5" t="s">
        <v>63</v>
      </c>
      <c r="B57" s="1" t="s">
        <v>7</v>
      </c>
      <c r="C57" s="6">
        <v>1067</v>
      </c>
      <c r="D57" s="6">
        <v>1053</v>
      </c>
      <c r="E57" s="7">
        <v>14</v>
      </c>
      <c r="F57" s="6">
        <v>524.24976258309596</v>
      </c>
      <c r="G57" s="6">
        <v>17.8114285714286</v>
      </c>
      <c r="H57" s="24">
        <v>0.81</v>
      </c>
      <c r="I57" s="8">
        <v>0.91737891737891697</v>
      </c>
      <c r="J57" s="19">
        <f>WEEKDAY(DaneCC[[#This Row],[Data]], 2)</f>
        <v>3</v>
      </c>
      <c r="K57" s="19" t="str">
        <f>TEXT(DaneCC[[#This Row],[Data]], "dddd")</f>
        <v>środa</v>
      </c>
      <c r="L57" s="19" t="str">
        <f>TEXT(DaneCC[[#This Row],[Data]], "mmmm")</f>
        <v>luty</v>
      </c>
      <c r="M57" s="28">
        <f>Parametry!$B$1</f>
        <v>0.85</v>
      </c>
      <c r="N57" s="28">
        <f>Parametry!$B$2</f>
        <v>0.8</v>
      </c>
      <c r="O57" s="19">
        <f>DaneCC[[#This Row],[Połączenia przychodzące]] * DaneCC[[#This Row],[Czas obsługi]]</f>
        <v>559374.4966761634</v>
      </c>
    </row>
    <row r="58" spans="1:15" x14ac:dyDescent="0.25">
      <c r="A58" s="5" t="s">
        <v>64</v>
      </c>
      <c r="B58" s="1" t="s">
        <v>7</v>
      </c>
      <c r="C58" s="6">
        <v>976</v>
      </c>
      <c r="D58" s="6">
        <v>952</v>
      </c>
      <c r="E58" s="7">
        <v>24</v>
      </c>
      <c r="F58" s="6">
        <v>571.197478991597</v>
      </c>
      <c r="G58" s="6">
        <v>29.019027484143798</v>
      </c>
      <c r="H58" s="24">
        <v>0.81</v>
      </c>
      <c r="I58" s="8">
        <v>0.80567226890756305</v>
      </c>
      <c r="J58" s="19">
        <f>WEEKDAY(DaneCC[[#This Row],[Data]], 2)</f>
        <v>4</v>
      </c>
      <c r="K58" s="19" t="str">
        <f>TEXT(DaneCC[[#This Row],[Data]], "dddd")</f>
        <v>czwartek</v>
      </c>
      <c r="L58" s="19" t="str">
        <f>TEXT(DaneCC[[#This Row],[Data]], "mmmm")</f>
        <v>luty</v>
      </c>
      <c r="M58" s="28">
        <f>Parametry!$B$1</f>
        <v>0.85</v>
      </c>
      <c r="N58" s="28">
        <f>Parametry!$B$2</f>
        <v>0.8</v>
      </c>
      <c r="O58" s="19">
        <f>DaneCC[[#This Row],[Połączenia przychodzące]] * DaneCC[[#This Row],[Czas obsługi]]</f>
        <v>557488.73949579871</v>
      </c>
    </row>
    <row r="59" spans="1:15" x14ac:dyDescent="0.25">
      <c r="A59" s="5" t="s">
        <v>65</v>
      </c>
      <c r="B59" s="1" t="s">
        <v>7</v>
      </c>
      <c r="C59" s="6">
        <v>1034</v>
      </c>
      <c r="D59" s="6">
        <v>989</v>
      </c>
      <c r="E59" s="7">
        <v>45</v>
      </c>
      <c r="F59" s="6">
        <v>566.25379170879705</v>
      </c>
      <c r="G59" s="6">
        <v>39.389623601220798</v>
      </c>
      <c r="H59" s="24">
        <v>0.85000000000000009</v>
      </c>
      <c r="I59" s="8">
        <v>0.76643073811931195</v>
      </c>
      <c r="J59" s="19">
        <f>WEEKDAY(DaneCC[[#This Row],[Data]], 2)</f>
        <v>5</v>
      </c>
      <c r="K59" s="19" t="str">
        <f>TEXT(DaneCC[[#This Row],[Data]], "dddd")</f>
        <v>piątek</v>
      </c>
      <c r="L59" s="19" t="str">
        <f>TEXT(DaneCC[[#This Row],[Data]], "mmmm")</f>
        <v>luty</v>
      </c>
      <c r="M59" s="28">
        <f>Parametry!$B$1</f>
        <v>0.85</v>
      </c>
      <c r="N59" s="28">
        <f>Parametry!$B$2</f>
        <v>0.8</v>
      </c>
      <c r="O59" s="19">
        <f>DaneCC[[#This Row],[Połączenia przychodzące]] * DaneCC[[#This Row],[Czas obsługi]]</f>
        <v>585506.4206268962</v>
      </c>
    </row>
    <row r="60" spans="1:15" x14ac:dyDescent="0.25">
      <c r="A60" s="5" t="s">
        <v>66</v>
      </c>
      <c r="B60" s="1" t="s">
        <v>7</v>
      </c>
      <c r="C60" s="6">
        <v>181</v>
      </c>
      <c r="D60" s="6">
        <v>111</v>
      </c>
      <c r="E60" s="7">
        <v>70</v>
      </c>
      <c r="F60" s="6">
        <v>677.72072072072103</v>
      </c>
      <c r="G60" s="6">
        <v>297.816513761468</v>
      </c>
      <c r="H60" s="24">
        <v>0.88</v>
      </c>
      <c r="I60" s="8">
        <v>0.46846846846846801</v>
      </c>
      <c r="J60" s="19">
        <f>WEEKDAY(DaneCC[[#This Row],[Data]], 2)</f>
        <v>6</v>
      </c>
      <c r="K60" s="19" t="str">
        <f>TEXT(DaneCC[[#This Row],[Data]], "dddd")</f>
        <v>sobota</v>
      </c>
      <c r="L60" s="19" t="str">
        <f>TEXT(DaneCC[[#This Row],[Data]], "mmmm")</f>
        <v>luty</v>
      </c>
      <c r="M60" s="28">
        <f>Parametry!$B$1</f>
        <v>0.85</v>
      </c>
      <c r="N60" s="28">
        <f>Parametry!$B$2</f>
        <v>0.8</v>
      </c>
      <c r="O60" s="19">
        <f>DaneCC[[#This Row],[Połączenia przychodzące]] * DaneCC[[#This Row],[Czas obsługi]]</f>
        <v>122667.4504504505</v>
      </c>
    </row>
    <row r="61" spans="1:15" x14ac:dyDescent="0.25">
      <c r="A61" s="5" t="s">
        <v>67</v>
      </c>
      <c r="B61" s="1" t="s">
        <v>7</v>
      </c>
      <c r="C61" s="6">
        <v>133</v>
      </c>
      <c r="D61" s="6">
        <v>122</v>
      </c>
      <c r="E61" s="7">
        <v>11</v>
      </c>
      <c r="F61" s="6">
        <v>474.81147540983602</v>
      </c>
      <c r="G61" s="6">
        <v>104.22499999999999</v>
      </c>
      <c r="H61" s="24">
        <v>0.86</v>
      </c>
      <c r="I61" s="8">
        <v>0.64754098360655699</v>
      </c>
      <c r="J61" s="19">
        <f>WEEKDAY(DaneCC[[#This Row],[Data]], 2)</f>
        <v>7</v>
      </c>
      <c r="K61" s="19" t="str">
        <f>TEXT(DaneCC[[#This Row],[Data]], "dddd")</f>
        <v>niedziela</v>
      </c>
      <c r="L61" s="19" t="str">
        <f>TEXT(DaneCC[[#This Row],[Data]], "mmmm")</f>
        <v>marzec</v>
      </c>
      <c r="M61" s="28">
        <f>Parametry!$B$1</f>
        <v>0.85</v>
      </c>
      <c r="N61" s="28">
        <f>Parametry!$B$2</f>
        <v>0.8</v>
      </c>
      <c r="O61" s="19">
        <f>DaneCC[[#This Row],[Połączenia przychodzące]] * DaneCC[[#This Row],[Czas obsługi]]</f>
        <v>63149.926229508194</v>
      </c>
    </row>
    <row r="62" spans="1:15" x14ac:dyDescent="0.25">
      <c r="A62" s="5" t="s">
        <v>68</v>
      </c>
      <c r="B62" s="1" t="s">
        <v>7</v>
      </c>
      <c r="C62" s="6">
        <v>1146</v>
      </c>
      <c r="D62" s="6">
        <v>1102</v>
      </c>
      <c r="E62" s="7">
        <v>44</v>
      </c>
      <c r="F62" s="6">
        <v>539.38294010889297</v>
      </c>
      <c r="G62" s="6">
        <v>54.368036529680403</v>
      </c>
      <c r="H62" s="24">
        <v>0.82000000000000006</v>
      </c>
      <c r="I62" s="8">
        <v>0.70598911070780401</v>
      </c>
      <c r="J62" s="19">
        <f>WEEKDAY(DaneCC[[#This Row],[Data]], 2)</f>
        <v>1</v>
      </c>
      <c r="K62" s="19" t="str">
        <f>TEXT(DaneCC[[#This Row],[Data]], "dddd")</f>
        <v>poniedziałek</v>
      </c>
      <c r="L62" s="19" t="str">
        <f>TEXT(DaneCC[[#This Row],[Data]], "mmmm")</f>
        <v>marzec</v>
      </c>
      <c r="M62" s="28">
        <f>Parametry!$B$1</f>
        <v>0.85</v>
      </c>
      <c r="N62" s="28">
        <f>Parametry!$B$2</f>
        <v>0.8</v>
      </c>
      <c r="O62" s="19">
        <f>DaneCC[[#This Row],[Połączenia przychodzące]] * DaneCC[[#This Row],[Czas obsługi]]</f>
        <v>618132.8493647913</v>
      </c>
    </row>
    <row r="63" spans="1:15" x14ac:dyDescent="0.25">
      <c r="A63" s="5" t="s">
        <v>69</v>
      </c>
      <c r="B63" s="1" t="s">
        <v>7</v>
      </c>
      <c r="C63" s="6">
        <v>1395</v>
      </c>
      <c r="D63" s="6">
        <v>1139</v>
      </c>
      <c r="E63" s="7">
        <v>256</v>
      </c>
      <c r="F63" s="6">
        <v>589.76470588235304</v>
      </c>
      <c r="G63" s="6">
        <v>151.71883289124699</v>
      </c>
      <c r="H63" s="24">
        <v>0.83000000000000007</v>
      </c>
      <c r="I63" s="8">
        <v>0.68481123792800702</v>
      </c>
      <c r="J63" s="19">
        <f>WEEKDAY(DaneCC[[#This Row],[Data]], 2)</f>
        <v>2</v>
      </c>
      <c r="K63" s="19" t="str">
        <f>TEXT(DaneCC[[#This Row],[Data]], "dddd")</f>
        <v>wtorek</v>
      </c>
      <c r="L63" s="19" t="str">
        <f>TEXT(DaneCC[[#This Row],[Data]], "mmmm")</f>
        <v>marzec</v>
      </c>
      <c r="M63" s="28">
        <f>Parametry!$B$1</f>
        <v>0.85</v>
      </c>
      <c r="N63" s="28">
        <f>Parametry!$B$2</f>
        <v>0.8</v>
      </c>
      <c r="O63" s="19">
        <f>DaneCC[[#This Row],[Połączenia przychodzące]] * DaneCC[[#This Row],[Czas obsługi]]</f>
        <v>822721.76470588252</v>
      </c>
    </row>
    <row r="64" spans="1:15" x14ac:dyDescent="0.25">
      <c r="A64" s="5" t="s">
        <v>70</v>
      </c>
      <c r="B64" s="1" t="s">
        <v>7</v>
      </c>
      <c r="C64" s="6">
        <v>2012</v>
      </c>
      <c r="D64" s="6">
        <v>1756</v>
      </c>
      <c r="E64" s="7">
        <v>256</v>
      </c>
      <c r="F64" s="6">
        <v>570.20956719817798</v>
      </c>
      <c r="G64" s="6">
        <v>110.594517418618</v>
      </c>
      <c r="H64" s="24">
        <v>0.88</v>
      </c>
      <c r="I64" s="8">
        <v>0.47494305239180001</v>
      </c>
      <c r="J64" s="19">
        <f>WEEKDAY(DaneCC[[#This Row],[Data]], 2)</f>
        <v>3</v>
      </c>
      <c r="K64" s="19" t="str">
        <f>TEXT(DaneCC[[#This Row],[Data]], "dddd")</f>
        <v>środa</v>
      </c>
      <c r="L64" s="19" t="str">
        <f>TEXT(DaneCC[[#This Row],[Data]], "mmmm")</f>
        <v>marzec</v>
      </c>
      <c r="M64" s="28">
        <f>Parametry!$B$1</f>
        <v>0.85</v>
      </c>
      <c r="N64" s="28">
        <f>Parametry!$B$2</f>
        <v>0.8</v>
      </c>
      <c r="O64" s="19">
        <f>DaneCC[[#This Row],[Połączenia przychodzące]] * DaneCC[[#This Row],[Czas obsługi]]</f>
        <v>1147261.649202734</v>
      </c>
    </row>
    <row r="65" spans="1:15" x14ac:dyDescent="0.25">
      <c r="A65" s="5" t="s">
        <v>71</v>
      </c>
      <c r="B65" s="1" t="s">
        <v>7</v>
      </c>
      <c r="C65" s="6">
        <v>1431</v>
      </c>
      <c r="D65" s="6">
        <v>1340</v>
      </c>
      <c r="E65" s="7">
        <v>91</v>
      </c>
      <c r="F65" s="6">
        <v>560.56492537313397</v>
      </c>
      <c r="G65" s="6">
        <v>55.265413533834597</v>
      </c>
      <c r="H65" s="24">
        <v>0.82000000000000006</v>
      </c>
      <c r="I65" s="8">
        <v>0.58805970149253695</v>
      </c>
      <c r="J65" s="19">
        <f>WEEKDAY(DaneCC[[#This Row],[Data]], 2)</f>
        <v>4</v>
      </c>
      <c r="K65" s="19" t="str">
        <f>TEXT(DaneCC[[#This Row],[Data]], "dddd")</f>
        <v>czwartek</v>
      </c>
      <c r="L65" s="19" t="str">
        <f>TEXT(DaneCC[[#This Row],[Data]], "mmmm")</f>
        <v>marzec</v>
      </c>
      <c r="M65" s="28">
        <f>Parametry!$B$1</f>
        <v>0.85</v>
      </c>
      <c r="N65" s="28">
        <f>Parametry!$B$2</f>
        <v>0.8</v>
      </c>
      <c r="O65" s="19">
        <f>DaneCC[[#This Row],[Połączenia przychodzące]] * DaneCC[[#This Row],[Czas obsługi]]</f>
        <v>802168.40820895473</v>
      </c>
    </row>
    <row r="66" spans="1:15" x14ac:dyDescent="0.25">
      <c r="A66" s="5" t="s">
        <v>72</v>
      </c>
      <c r="B66" s="1" t="s">
        <v>7</v>
      </c>
      <c r="C66" s="6">
        <v>1245</v>
      </c>
      <c r="D66" s="6">
        <v>1187</v>
      </c>
      <c r="E66" s="7">
        <v>58</v>
      </c>
      <c r="F66" s="6">
        <v>561.20050547598998</v>
      </c>
      <c r="G66" s="6">
        <v>48.523285351397099</v>
      </c>
      <c r="H66" s="24">
        <v>0.88</v>
      </c>
      <c r="I66" s="8">
        <v>0.64532434709351305</v>
      </c>
      <c r="J66" s="19">
        <f>WEEKDAY(DaneCC[[#This Row],[Data]], 2)</f>
        <v>5</v>
      </c>
      <c r="K66" s="19" t="str">
        <f>TEXT(DaneCC[[#This Row],[Data]], "dddd")</f>
        <v>piątek</v>
      </c>
      <c r="L66" s="19" t="str">
        <f>TEXT(DaneCC[[#This Row],[Data]], "mmmm")</f>
        <v>marzec</v>
      </c>
      <c r="M66" s="28">
        <f>Parametry!$B$1</f>
        <v>0.85</v>
      </c>
      <c r="N66" s="28">
        <f>Parametry!$B$2</f>
        <v>0.8</v>
      </c>
      <c r="O66" s="19">
        <f>DaneCC[[#This Row],[Połączenia przychodzące]] * DaneCC[[#This Row],[Czas obsługi]]</f>
        <v>698694.6293176075</v>
      </c>
    </row>
    <row r="67" spans="1:15" x14ac:dyDescent="0.25">
      <c r="A67" s="5" t="s">
        <v>73</v>
      </c>
      <c r="B67" s="1" t="s">
        <v>7</v>
      </c>
      <c r="C67" s="6">
        <v>198</v>
      </c>
      <c r="D67" s="6">
        <v>145</v>
      </c>
      <c r="E67" s="7">
        <v>53</v>
      </c>
      <c r="F67" s="6">
        <v>430.772413793103</v>
      </c>
      <c r="G67" s="6">
        <v>209.423611111111</v>
      </c>
      <c r="H67" s="24">
        <v>0.81</v>
      </c>
      <c r="I67" s="8">
        <v>0.47586206896551703</v>
      </c>
      <c r="J67" s="19">
        <f>WEEKDAY(DaneCC[[#This Row],[Data]], 2)</f>
        <v>6</v>
      </c>
      <c r="K67" s="19" t="str">
        <f>TEXT(DaneCC[[#This Row],[Data]], "dddd")</f>
        <v>sobota</v>
      </c>
      <c r="L67" s="19" t="str">
        <f>TEXT(DaneCC[[#This Row],[Data]], "mmmm")</f>
        <v>marzec</v>
      </c>
      <c r="M67" s="28">
        <f>Parametry!$B$1</f>
        <v>0.85</v>
      </c>
      <c r="N67" s="28">
        <f>Parametry!$B$2</f>
        <v>0.8</v>
      </c>
      <c r="O67" s="19">
        <f>DaneCC[[#This Row],[Połączenia przychodzące]] * DaneCC[[#This Row],[Czas obsługi]]</f>
        <v>85292.937931034394</v>
      </c>
    </row>
    <row r="68" spans="1:15" x14ac:dyDescent="0.25">
      <c r="A68" s="5" t="s">
        <v>74</v>
      </c>
      <c r="B68" s="1" t="s">
        <v>7</v>
      </c>
      <c r="C68" s="6">
        <v>169</v>
      </c>
      <c r="D68" s="6">
        <v>115</v>
      </c>
      <c r="E68" s="7">
        <v>54</v>
      </c>
      <c r="F68" s="6">
        <v>578.70434782608697</v>
      </c>
      <c r="G68" s="6">
        <v>277.27192982456103</v>
      </c>
      <c r="H68" s="24">
        <v>0.88</v>
      </c>
      <c r="I68" s="8">
        <v>0.40869565217391302</v>
      </c>
      <c r="J68" s="19">
        <f>WEEKDAY(DaneCC[[#This Row],[Data]], 2)</f>
        <v>7</v>
      </c>
      <c r="K68" s="19" t="str">
        <f>TEXT(DaneCC[[#This Row],[Data]], "dddd")</f>
        <v>niedziela</v>
      </c>
      <c r="L68" s="19" t="str">
        <f>TEXT(DaneCC[[#This Row],[Data]], "mmmm")</f>
        <v>marzec</v>
      </c>
      <c r="M68" s="28">
        <f>Parametry!$B$1</f>
        <v>0.85</v>
      </c>
      <c r="N68" s="28">
        <f>Parametry!$B$2</f>
        <v>0.8</v>
      </c>
      <c r="O68" s="19">
        <f>DaneCC[[#This Row],[Połączenia przychodzące]] * DaneCC[[#This Row],[Czas obsługi]]</f>
        <v>97801.034782608695</v>
      </c>
    </row>
    <row r="69" spans="1:15" x14ac:dyDescent="0.25">
      <c r="A69" s="5" t="s">
        <v>75</v>
      </c>
      <c r="B69" s="1" t="s">
        <v>7</v>
      </c>
      <c r="C69" s="6">
        <v>1402</v>
      </c>
      <c r="D69" s="6">
        <v>1367</v>
      </c>
      <c r="E69" s="7">
        <v>35</v>
      </c>
      <c r="F69" s="6">
        <v>542.98390636430099</v>
      </c>
      <c r="G69" s="6">
        <v>27.544583640383198</v>
      </c>
      <c r="H69" s="24">
        <v>0.85000000000000009</v>
      </c>
      <c r="I69" s="8">
        <v>0.79517190929041703</v>
      </c>
      <c r="J69" s="19">
        <f>WEEKDAY(DaneCC[[#This Row],[Data]], 2)</f>
        <v>1</v>
      </c>
      <c r="K69" s="19" t="str">
        <f>TEXT(DaneCC[[#This Row],[Data]], "dddd")</f>
        <v>poniedziałek</v>
      </c>
      <c r="L69" s="19" t="str">
        <f>TEXT(DaneCC[[#This Row],[Data]], "mmmm")</f>
        <v>marzec</v>
      </c>
      <c r="M69" s="28">
        <f>Parametry!$B$1</f>
        <v>0.85</v>
      </c>
      <c r="N69" s="28">
        <f>Parametry!$B$2</f>
        <v>0.8</v>
      </c>
      <c r="O69" s="19">
        <f>DaneCC[[#This Row],[Połączenia przychodzące]] * DaneCC[[#This Row],[Czas obsługi]]</f>
        <v>761263.43672274996</v>
      </c>
    </row>
    <row r="70" spans="1:15" x14ac:dyDescent="0.25">
      <c r="A70" s="5" t="s">
        <v>76</v>
      </c>
      <c r="B70" s="1" t="s">
        <v>7</v>
      </c>
      <c r="C70" s="6">
        <v>1256</v>
      </c>
      <c r="D70" s="6">
        <v>1229</v>
      </c>
      <c r="E70" s="7">
        <v>27</v>
      </c>
      <c r="F70" s="6">
        <v>551.45565500406803</v>
      </c>
      <c r="G70" s="6">
        <v>33.6111111111111</v>
      </c>
      <c r="H70" s="24">
        <v>0.81</v>
      </c>
      <c r="I70" s="8">
        <v>0.81611065907241698</v>
      </c>
      <c r="J70" s="19">
        <f>WEEKDAY(DaneCC[[#This Row],[Data]], 2)</f>
        <v>2</v>
      </c>
      <c r="K70" s="19" t="str">
        <f>TEXT(DaneCC[[#This Row],[Data]], "dddd")</f>
        <v>wtorek</v>
      </c>
      <c r="L70" s="19" t="str">
        <f>TEXT(DaneCC[[#This Row],[Data]], "mmmm")</f>
        <v>marzec</v>
      </c>
      <c r="M70" s="28">
        <f>Parametry!$B$1</f>
        <v>0.85</v>
      </c>
      <c r="N70" s="28">
        <f>Parametry!$B$2</f>
        <v>0.8</v>
      </c>
      <c r="O70" s="19">
        <f>DaneCC[[#This Row],[Połączenia przychodzące]] * DaneCC[[#This Row],[Czas obsługi]]</f>
        <v>692628.30268510943</v>
      </c>
    </row>
    <row r="71" spans="1:15" x14ac:dyDescent="0.25">
      <c r="A71" s="5" t="s">
        <v>77</v>
      </c>
      <c r="B71" s="1" t="s">
        <v>7</v>
      </c>
      <c r="C71" s="6">
        <v>1037</v>
      </c>
      <c r="D71" s="6">
        <v>1015</v>
      </c>
      <c r="E71" s="7">
        <v>22</v>
      </c>
      <c r="F71" s="6">
        <v>541.19113300492597</v>
      </c>
      <c r="G71" s="6">
        <v>26.627470355731202</v>
      </c>
      <c r="H71" s="24">
        <v>0.83000000000000007</v>
      </c>
      <c r="I71" s="8">
        <v>0.86403940886699504</v>
      </c>
      <c r="J71" s="19">
        <f>WEEKDAY(DaneCC[[#This Row],[Data]], 2)</f>
        <v>3</v>
      </c>
      <c r="K71" s="19" t="str">
        <f>TEXT(DaneCC[[#This Row],[Data]], "dddd")</f>
        <v>środa</v>
      </c>
      <c r="L71" s="19" t="str">
        <f>TEXT(DaneCC[[#This Row],[Data]], "mmmm")</f>
        <v>marzec</v>
      </c>
      <c r="M71" s="28">
        <f>Parametry!$B$1</f>
        <v>0.85</v>
      </c>
      <c r="N71" s="28">
        <f>Parametry!$B$2</f>
        <v>0.8</v>
      </c>
      <c r="O71" s="19">
        <f>DaneCC[[#This Row],[Połączenia przychodzące]] * DaneCC[[#This Row],[Czas obsługi]]</f>
        <v>561215.20492610824</v>
      </c>
    </row>
    <row r="72" spans="1:15" x14ac:dyDescent="0.25">
      <c r="A72" s="5" t="s">
        <v>78</v>
      </c>
      <c r="B72" s="1" t="s">
        <v>7</v>
      </c>
      <c r="C72" s="6">
        <v>1019</v>
      </c>
      <c r="D72" s="6">
        <v>1001</v>
      </c>
      <c r="E72" s="7">
        <v>18</v>
      </c>
      <c r="F72" s="6">
        <v>559.41658341658297</v>
      </c>
      <c r="G72" s="6">
        <v>19.597597597597598</v>
      </c>
      <c r="H72" s="24">
        <v>0.82000000000000006</v>
      </c>
      <c r="I72" s="8">
        <v>0.86913086913086901</v>
      </c>
      <c r="J72" s="19">
        <f>WEEKDAY(DaneCC[[#This Row],[Data]], 2)</f>
        <v>4</v>
      </c>
      <c r="K72" s="19" t="str">
        <f>TEXT(DaneCC[[#This Row],[Data]], "dddd")</f>
        <v>czwartek</v>
      </c>
      <c r="L72" s="19" t="str">
        <f>TEXT(DaneCC[[#This Row],[Data]], "mmmm")</f>
        <v>marzec</v>
      </c>
      <c r="M72" s="28">
        <f>Parametry!$B$1</f>
        <v>0.85</v>
      </c>
      <c r="N72" s="28">
        <f>Parametry!$B$2</f>
        <v>0.8</v>
      </c>
      <c r="O72" s="19">
        <f>DaneCC[[#This Row],[Połączenia przychodzące]] * DaneCC[[#This Row],[Czas obsługi]]</f>
        <v>570045.49850149802</v>
      </c>
    </row>
    <row r="73" spans="1:15" x14ac:dyDescent="0.25">
      <c r="A73" s="5" t="s">
        <v>79</v>
      </c>
      <c r="B73" s="1" t="s">
        <v>7</v>
      </c>
      <c r="C73" s="6">
        <v>1007</v>
      </c>
      <c r="D73" s="6">
        <v>982</v>
      </c>
      <c r="E73" s="7">
        <v>25</v>
      </c>
      <c r="F73" s="6">
        <v>528.53360488798398</v>
      </c>
      <c r="G73" s="6">
        <v>21.325128205128198</v>
      </c>
      <c r="H73" s="24">
        <v>0.81</v>
      </c>
      <c r="I73" s="8">
        <v>0.834012219959267</v>
      </c>
      <c r="J73" s="19">
        <f>WEEKDAY(DaneCC[[#This Row],[Data]], 2)</f>
        <v>5</v>
      </c>
      <c r="K73" s="19" t="str">
        <f>TEXT(DaneCC[[#This Row],[Data]], "dddd")</f>
        <v>piątek</v>
      </c>
      <c r="L73" s="19" t="str">
        <f>TEXT(DaneCC[[#This Row],[Data]], "mmmm")</f>
        <v>marzec</v>
      </c>
      <c r="M73" s="28">
        <f>Parametry!$B$1</f>
        <v>0.85</v>
      </c>
      <c r="N73" s="28">
        <f>Parametry!$B$2</f>
        <v>0.8</v>
      </c>
      <c r="O73" s="19">
        <f>DaneCC[[#This Row],[Połączenia przychodzące]] * DaneCC[[#This Row],[Czas obsługi]]</f>
        <v>532233.34012219985</v>
      </c>
    </row>
    <row r="74" spans="1:15" x14ac:dyDescent="0.25">
      <c r="A74" s="5" t="s">
        <v>80</v>
      </c>
      <c r="B74" s="1" t="s">
        <v>7</v>
      </c>
      <c r="C74" s="6">
        <v>166</v>
      </c>
      <c r="D74" s="6">
        <v>142</v>
      </c>
      <c r="E74" s="7">
        <v>24</v>
      </c>
      <c r="F74" s="6">
        <v>466.35211267605598</v>
      </c>
      <c r="G74" s="6">
        <v>80.589928057554005</v>
      </c>
      <c r="H74" s="24">
        <v>0.81</v>
      </c>
      <c r="I74" s="8">
        <v>0.68309859154929597</v>
      </c>
      <c r="J74" s="19">
        <f>WEEKDAY(DaneCC[[#This Row],[Data]], 2)</f>
        <v>6</v>
      </c>
      <c r="K74" s="19" t="str">
        <f>TEXT(DaneCC[[#This Row],[Data]], "dddd")</f>
        <v>sobota</v>
      </c>
      <c r="L74" s="19" t="str">
        <f>TEXT(DaneCC[[#This Row],[Data]], "mmmm")</f>
        <v>marzec</v>
      </c>
      <c r="M74" s="28">
        <f>Parametry!$B$1</f>
        <v>0.85</v>
      </c>
      <c r="N74" s="28">
        <f>Parametry!$B$2</f>
        <v>0.8</v>
      </c>
      <c r="O74" s="19">
        <f>DaneCC[[#This Row],[Połączenia przychodzące]] * DaneCC[[#This Row],[Czas obsługi]]</f>
        <v>77414.450704225295</v>
      </c>
    </row>
    <row r="75" spans="1:15" x14ac:dyDescent="0.25">
      <c r="A75" s="5" t="s">
        <v>81</v>
      </c>
      <c r="B75" s="1" t="s">
        <v>7</v>
      </c>
      <c r="C75" s="6">
        <v>129</v>
      </c>
      <c r="D75" s="6">
        <v>93</v>
      </c>
      <c r="E75" s="7">
        <v>36</v>
      </c>
      <c r="F75" s="6">
        <v>542.96774193548401</v>
      </c>
      <c r="G75" s="6">
        <v>137.537634408602</v>
      </c>
      <c r="H75" s="24">
        <v>0.87</v>
      </c>
      <c r="I75" s="8">
        <v>0.65591397849462396</v>
      </c>
      <c r="J75" s="19">
        <f>WEEKDAY(DaneCC[[#This Row],[Data]], 2)</f>
        <v>7</v>
      </c>
      <c r="K75" s="19" t="str">
        <f>TEXT(DaneCC[[#This Row],[Data]], "dddd")</f>
        <v>niedziela</v>
      </c>
      <c r="L75" s="19" t="str">
        <f>TEXT(DaneCC[[#This Row],[Data]], "mmmm")</f>
        <v>marzec</v>
      </c>
      <c r="M75" s="28">
        <f>Parametry!$B$1</f>
        <v>0.85</v>
      </c>
      <c r="N75" s="28">
        <f>Parametry!$B$2</f>
        <v>0.8</v>
      </c>
      <c r="O75" s="19">
        <f>DaneCC[[#This Row],[Połączenia przychodzące]] * DaneCC[[#This Row],[Czas obsługi]]</f>
        <v>70042.838709677439</v>
      </c>
    </row>
    <row r="76" spans="1:15" x14ac:dyDescent="0.25">
      <c r="A76" s="5" t="s">
        <v>82</v>
      </c>
      <c r="B76" s="1" t="s">
        <v>7</v>
      </c>
      <c r="C76" s="6">
        <v>1188</v>
      </c>
      <c r="D76" s="6">
        <v>1141</v>
      </c>
      <c r="E76" s="7">
        <v>47</v>
      </c>
      <c r="F76" s="6">
        <v>551.85626643295404</v>
      </c>
      <c r="G76" s="6">
        <v>34.880281690140798</v>
      </c>
      <c r="H76" s="24">
        <v>0.82000000000000006</v>
      </c>
      <c r="I76" s="8">
        <v>0.79754601226993904</v>
      </c>
      <c r="J76" s="19">
        <f>WEEKDAY(DaneCC[[#This Row],[Data]], 2)</f>
        <v>1</v>
      </c>
      <c r="K76" s="19" t="str">
        <f>TEXT(DaneCC[[#This Row],[Data]], "dddd")</f>
        <v>poniedziałek</v>
      </c>
      <c r="L76" s="19" t="str">
        <f>TEXT(DaneCC[[#This Row],[Data]], "mmmm")</f>
        <v>marzec</v>
      </c>
      <c r="M76" s="28">
        <f>Parametry!$B$1</f>
        <v>0.85</v>
      </c>
      <c r="N76" s="28">
        <f>Parametry!$B$2</f>
        <v>0.8</v>
      </c>
      <c r="O76" s="19">
        <f>DaneCC[[#This Row],[Połączenia przychodzące]] * DaneCC[[#This Row],[Czas obsługi]]</f>
        <v>655605.24452234944</v>
      </c>
    </row>
    <row r="77" spans="1:15" x14ac:dyDescent="0.25">
      <c r="A77" s="5" t="s">
        <v>83</v>
      </c>
      <c r="B77" s="1" t="s">
        <v>7</v>
      </c>
      <c r="C77" s="6">
        <v>1009</v>
      </c>
      <c r="D77" s="6">
        <v>996</v>
      </c>
      <c r="E77" s="7">
        <v>13</v>
      </c>
      <c r="F77" s="6">
        <v>551.47389558232896</v>
      </c>
      <c r="G77" s="6">
        <v>22.437941473259301</v>
      </c>
      <c r="H77" s="24">
        <v>0.82000000000000006</v>
      </c>
      <c r="I77" s="8">
        <v>0.86345381526104403</v>
      </c>
      <c r="J77" s="19">
        <f>WEEKDAY(DaneCC[[#This Row],[Data]], 2)</f>
        <v>2</v>
      </c>
      <c r="K77" s="19" t="str">
        <f>TEXT(DaneCC[[#This Row],[Data]], "dddd")</f>
        <v>wtorek</v>
      </c>
      <c r="L77" s="19" t="str">
        <f>TEXT(DaneCC[[#This Row],[Data]], "mmmm")</f>
        <v>marzec</v>
      </c>
      <c r="M77" s="28">
        <f>Parametry!$B$1</f>
        <v>0.85</v>
      </c>
      <c r="N77" s="28">
        <f>Parametry!$B$2</f>
        <v>0.8</v>
      </c>
      <c r="O77" s="19">
        <f>DaneCC[[#This Row],[Połączenia przychodzące]] * DaneCC[[#This Row],[Czas obsługi]]</f>
        <v>556437.16064256988</v>
      </c>
    </row>
    <row r="78" spans="1:15" x14ac:dyDescent="0.25">
      <c r="A78" s="5" t="s">
        <v>84</v>
      </c>
      <c r="B78" s="1" t="s">
        <v>7</v>
      </c>
      <c r="C78" s="6">
        <v>1012</v>
      </c>
      <c r="D78" s="6">
        <v>978</v>
      </c>
      <c r="E78" s="7">
        <v>34</v>
      </c>
      <c r="F78" s="6">
        <v>530.75255623721898</v>
      </c>
      <c r="G78" s="6">
        <v>36.019547325102899</v>
      </c>
      <c r="H78" s="24">
        <v>0.85000000000000009</v>
      </c>
      <c r="I78" s="8">
        <v>0.75971370143149297</v>
      </c>
      <c r="J78" s="19">
        <f>WEEKDAY(DaneCC[[#This Row],[Data]], 2)</f>
        <v>3</v>
      </c>
      <c r="K78" s="19" t="str">
        <f>TEXT(DaneCC[[#This Row],[Data]], "dddd")</f>
        <v>środa</v>
      </c>
      <c r="L78" s="19" t="str">
        <f>TEXT(DaneCC[[#This Row],[Data]], "mmmm")</f>
        <v>marzec</v>
      </c>
      <c r="M78" s="28">
        <f>Parametry!$B$1</f>
        <v>0.85</v>
      </c>
      <c r="N78" s="28">
        <f>Parametry!$B$2</f>
        <v>0.8</v>
      </c>
      <c r="O78" s="19">
        <f>DaneCC[[#This Row],[Połączenia przychodzące]] * DaneCC[[#This Row],[Czas obsługi]]</f>
        <v>537121.58691206563</v>
      </c>
    </row>
    <row r="79" spans="1:15" x14ac:dyDescent="0.25">
      <c r="A79" s="5" t="s">
        <v>85</v>
      </c>
      <c r="B79" s="1" t="s">
        <v>7</v>
      </c>
      <c r="C79" s="6">
        <v>972</v>
      </c>
      <c r="D79" s="6">
        <v>950</v>
      </c>
      <c r="E79" s="7">
        <v>22</v>
      </c>
      <c r="F79" s="6">
        <v>536.12210526315801</v>
      </c>
      <c r="G79" s="6">
        <v>27.767268862911799</v>
      </c>
      <c r="H79" s="24">
        <v>0.82000000000000006</v>
      </c>
      <c r="I79" s="8">
        <v>0.83368421052631603</v>
      </c>
      <c r="J79" s="19">
        <f>WEEKDAY(DaneCC[[#This Row],[Data]], 2)</f>
        <v>4</v>
      </c>
      <c r="K79" s="19" t="str">
        <f>TEXT(DaneCC[[#This Row],[Data]], "dddd")</f>
        <v>czwartek</v>
      </c>
      <c r="L79" s="19" t="str">
        <f>TEXT(DaneCC[[#This Row],[Data]], "mmmm")</f>
        <v>marzec</v>
      </c>
      <c r="M79" s="28">
        <f>Parametry!$B$1</f>
        <v>0.85</v>
      </c>
      <c r="N79" s="28">
        <f>Parametry!$B$2</f>
        <v>0.8</v>
      </c>
      <c r="O79" s="19">
        <f>DaneCC[[#This Row],[Połączenia przychodzące]] * DaneCC[[#This Row],[Czas obsługi]]</f>
        <v>521110.68631578959</v>
      </c>
    </row>
    <row r="80" spans="1:15" x14ac:dyDescent="0.25">
      <c r="A80" s="5" t="s">
        <v>86</v>
      </c>
      <c r="B80" s="1" t="s">
        <v>7</v>
      </c>
      <c r="C80" s="6">
        <v>964</v>
      </c>
      <c r="D80" s="6">
        <v>932</v>
      </c>
      <c r="E80" s="7">
        <v>32</v>
      </c>
      <c r="F80" s="6">
        <v>573.76180257510703</v>
      </c>
      <c r="G80" s="6">
        <v>31.703225806451599</v>
      </c>
      <c r="H80" s="24">
        <v>0.85000000000000009</v>
      </c>
      <c r="I80" s="8">
        <v>0.80793991416308997</v>
      </c>
      <c r="J80" s="19">
        <f>WEEKDAY(DaneCC[[#This Row],[Data]], 2)</f>
        <v>5</v>
      </c>
      <c r="K80" s="19" t="str">
        <f>TEXT(DaneCC[[#This Row],[Data]], "dddd")</f>
        <v>piątek</v>
      </c>
      <c r="L80" s="19" t="str">
        <f>TEXT(DaneCC[[#This Row],[Data]], "mmmm")</f>
        <v>marzec</v>
      </c>
      <c r="M80" s="28">
        <f>Parametry!$B$1</f>
        <v>0.85</v>
      </c>
      <c r="N80" s="28">
        <f>Parametry!$B$2</f>
        <v>0.8</v>
      </c>
      <c r="O80" s="19">
        <f>DaneCC[[#This Row],[Połączenia przychodzące]] * DaneCC[[#This Row],[Czas obsługi]]</f>
        <v>553106.3776824032</v>
      </c>
    </row>
    <row r="81" spans="1:15" x14ac:dyDescent="0.25">
      <c r="A81" s="5" t="s">
        <v>87</v>
      </c>
      <c r="B81" s="1" t="s">
        <v>7</v>
      </c>
      <c r="C81" s="6">
        <v>130</v>
      </c>
      <c r="D81" s="6">
        <v>118</v>
      </c>
      <c r="E81" s="7">
        <v>12</v>
      </c>
      <c r="F81" s="6">
        <v>491.15254237288099</v>
      </c>
      <c r="G81" s="6">
        <v>100.606837606838</v>
      </c>
      <c r="H81" s="24">
        <v>0.89</v>
      </c>
      <c r="I81" s="8">
        <v>0.69491525423728795</v>
      </c>
      <c r="J81" s="19">
        <f>WEEKDAY(DaneCC[[#This Row],[Data]], 2)</f>
        <v>6</v>
      </c>
      <c r="K81" s="19" t="str">
        <f>TEXT(DaneCC[[#This Row],[Data]], "dddd")</f>
        <v>sobota</v>
      </c>
      <c r="L81" s="19" t="str">
        <f>TEXT(DaneCC[[#This Row],[Data]], "mmmm")</f>
        <v>marzec</v>
      </c>
      <c r="M81" s="28">
        <f>Parametry!$B$1</f>
        <v>0.85</v>
      </c>
      <c r="N81" s="28">
        <f>Parametry!$B$2</f>
        <v>0.8</v>
      </c>
      <c r="O81" s="19">
        <f>DaneCC[[#This Row],[Połączenia przychodzące]] * DaneCC[[#This Row],[Czas obsługi]]</f>
        <v>63849.83050847453</v>
      </c>
    </row>
    <row r="82" spans="1:15" x14ac:dyDescent="0.25">
      <c r="A82" s="5" t="s">
        <v>88</v>
      </c>
      <c r="B82" s="1" t="s">
        <v>7</v>
      </c>
      <c r="C82" s="6">
        <v>96</v>
      </c>
      <c r="D82" s="6">
        <v>85</v>
      </c>
      <c r="E82" s="7">
        <v>11</v>
      </c>
      <c r="F82" s="6">
        <v>426.85882352941201</v>
      </c>
      <c r="G82" s="6">
        <v>92.240963855421697</v>
      </c>
      <c r="H82" s="24">
        <v>0.89</v>
      </c>
      <c r="I82" s="8">
        <v>0.67058823529411804</v>
      </c>
      <c r="J82" s="19">
        <f>WEEKDAY(DaneCC[[#This Row],[Data]], 2)</f>
        <v>7</v>
      </c>
      <c r="K82" s="19" t="str">
        <f>TEXT(DaneCC[[#This Row],[Data]], "dddd")</f>
        <v>niedziela</v>
      </c>
      <c r="L82" s="19" t="str">
        <f>TEXT(DaneCC[[#This Row],[Data]], "mmmm")</f>
        <v>marzec</v>
      </c>
      <c r="M82" s="28">
        <f>Parametry!$B$1</f>
        <v>0.85</v>
      </c>
      <c r="N82" s="28">
        <f>Parametry!$B$2</f>
        <v>0.8</v>
      </c>
      <c r="O82" s="19">
        <f>DaneCC[[#This Row],[Połączenia przychodzące]] * DaneCC[[#This Row],[Czas obsługi]]</f>
        <v>40978.447058823556</v>
      </c>
    </row>
    <row r="83" spans="1:15" x14ac:dyDescent="0.25">
      <c r="A83" s="5" t="s">
        <v>89</v>
      </c>
      <c r="B83" s="1" t="s">
        <v>7</v>
      </c>
      <c r="C83" s="6">
        <v>888</v>
      </c>
      <c r="D83" s="6">
        <v>864</v>
      </c>
      <c r="E83" s="7">
        <v>24</v>
      </c>
      <c r="F83" s="6">
        <v>535.774305555556</v>
      </c>
      <c r="G83" s="6">
        <v>17.742724097788098</v>
      </c>
      <c r="H83" s="24">
        <v>0.81</v>
      </c>
      <c r="I83" s="8">
        <v>0.87037037037037002</v>
      </c>
      <c r="J83" s="19">
        <f>WEEKDAY(DaneCC[[#This Row],[Data]], 2)</f>
        <v>1</v>
      </c>
      <c r="K83" s="19" t="str">
        <f>TEXT(DaneCC[[#This Row],[Data]], "dddd")</f>
        <v>poniedziałek</v>
      </c>
      <c r="L83" s="19" t="str">
        <f>TEXT(DaneCC[[#This Row],[Data]], "mmmm")</f>
        <v>marzec</v>
      </c>
      <c r="M83" s="28">
        <f>Parametry!$B$1</f>
        <v>0.85</v>
      </c>
      <c r="N83" s="28">
        <f>Parametry!$B$2</f>
        <v>0.8</v>
      </c>
      <c r="O83" s="19">
        <f>DaneCC[[#This Row],[Połączenia przychodzące]] * DaneCC[[#This Row],[Czas obsługi]]</f>
        <v>475767.58333333372</v>
      </c>
    </row>
    <row r="84" spans="1:15" x14ac:dyDescent="0.25">
      <c r="A84" s="5" t="s">
        <v>90</v>
      </c>
      <c r="B84" s="1" t="s">
        <v>7</v>
      </c>
      <c r="C84" s="6">
        <v>931</v>
      </c>
      <c r="D84" s="6">
        <v>913</v>
      </c>
      <c r="E84" s="7">
        <v>18</v>
      </c>
      <c r="F84" s="6">
        <v>543.67907995618805</v>
      </c>
      <c r="G84" s="6">
        <v>24.828004410143301</v>
      </c>
      <c r="H84" s="24">
        <v>0.88</v>
      </c>
      <c r="I84" s="8">
        <v>0.81599123767798498</v>
      </c>
      <c r="J84" s="19">
        <f>WEEKDAY(DaneCC[[#This Row],[Data]], 2)</f>
        <v>2</v>
      </c>
      <c r="K84" s="19" t="str">
        <f>TEXT(DaneCC[[#This Row],[Data]], "dddd")</f>
        <v>wtorek</v>
      </c>
      <c r="L84" s="19" t="str">
        <f>TEXT(DaneCC[[#This Row],[Data]], "mmmm")</f>
        <v>marzec</v>
      </c>
      <c r="M84" s="28">
        <f>Parametry!$B$1</f>
        <v>0.85</v>
      </c>
      <c r="N84" s="28">
        <f>Parametry!$B$2</f>
        <v>0.8</v>
      </c>
      <c r="O84" s="19">
        <f>DaneCC[[#This Row],[Połączenia przychodzące]] * DaneCC[[#This Row],[Czas obsługi]]</f>
        <v>506165.22343921108</v>
      </c>
    </row>
    <row r="85" spans="1:15" x14ac:dyDescent="0.25">
      <c r="A85" s="5" t="s">
        <v>91</v>
      </c>
      <c r="B85" s="1" t="s">
        <v>7</v>
      </c>
      <c r="C85" s="6">
        <v>922</v>
      </c>
      <c r="D85" s="6">
        <v>898</v>
      </c>
      <c r="E85" s="7">
        <v>24</v>
      </c>
      <c r="F85" s="6">
        <v>533.35412026726101</v>
      </c>
      <c r="G85" s="6">
        <v>31.180493273542599</v>
      </c>
      <c r="H85" s="24">
        <v>0.81</v>
      </c>
      <c r="I85" s="8">
        <v>0.76837416481068999</v>
      </c>
      <c r="J85" s="19">
        <f>WEEKDAY(DaneCC[[#This Row],[Data]], 2)</f>
        <v>3</v>
      </c>
      <c r="K85" s="19" t="str">
        <f>TEXT(DaneCC[[#This Row],[Data]], "dddd")</f>
        <v>środa</v>
      </c>
      <c r="L85" s="19" t="str">
        <f>TEXT(DaneCC[[#This Row],[Data]], "mmmm")</f>
        <v>marzec</v>
      </c>
      <c r="M85" s="28">
        <f>Parametry!$B$1</f>
        <v>0.85</v>
      </c>
      <c r="N85" s="28">
        <f>Parametry!$B$2</f>
        <v>0.8</v>
      </c>
      <c r="O85" s="19">
        <f>DaneCC[[#This Row],[Połączenia przychodzące]] * DaneCC[[#This Row],[Czas obsługi]]</f>
        <v>491752.49888641463</v>
      </c>
    </row>
    <row r="86" spans="1:15" x14ac:dyDescent="0.25">
      <c r="A86" s="5" t="s">
        <v>92</v>
      </c>
      <c r="B86" s="1" t="s">
        <v>7</v>
      </c>
      <c r="C86" s="6">
        <v>965</v>
      </c>
      <c r="D86" s="6">
        <v>927</v>
      </c>
      <c r="E86" s="7">
        <v>38</v>
      </c>
      <c r="F86" s="6">
        <v>537.08522114347397</v>
      </c>
      <c r="G86" s="6">
        <v>29.865363735070598</v>
      </c>
      <c r="H86" s="24">
        <v>0.89</v>
      </c>
      <c r="I86" s="8">
        <v>0.75728155339805803</v>
      </c>
      <c r="J86" s="19">
        <f>WEEKDAY(DaneCC[[#This Row],[Data]], 2)</f>
        <v>4</v>
      </c>
      <c r="K86" s="19" t="str">
        <f>TEXT(DaneCC[[#This Row],[Data]], "dddd")</f>
        <v>czwartek</v>
      </c>
      <c r="L86" s="19" t="str">
        <f>TEXT(DaneCC[[#This Row],[Data]], "mmmm")</f>
        <v>marzec</v>
      </c>
      <c r="M86" s="28">
        <f>Parametry!$B$1</f>
        <v>0.85</v>
      </c>
      <c r="N86" s="28">
        <f>Parametry!$B$2</f>
        <v>0.8</v>
      </c>
      <c r="O86" s="19">
        <f>DaneCC[[#This Row],[Połączenia przychodzące]] * DaneCC[[#This Row],[Czas obsługi]]</f>
        <v>518287.23840345239</v>
      </c>
    </row>
    <row r="87" spans="1:15" x14ac:dyDescent="0.25">
      <c r="A87" s="5" t="s">
        <v>93</v>
      </c>
      <c r="B87" s="1" t="s">
        <v>7</v>
      </c>
      <c r="C87" s="6">
        <v>779</v>
      </c>
      <c r="D87" s="6">
        <v>770</v>
      </c>
      <c r="E87" s="7">
        <v>9</v>
      </c>
      <c r="F87" s="6">
        <v>570.73246753246804</v>
      </c>
      <c r="G87" s="6">
        <v>17.797650130548298</v>
      </c>
      <c r="H87" s="24">
        <v>0.82000000000000006</v>
      </c>
      <c r="I87" s="8">
        <v>0.84415584415584399</v>
      </c>
      <c r="J87" s="19">
        <f>WEEKDAY(DaneCC[[#This Row],[Data]], 2)</f>
        <v>5</v>
      </c>
      <c r="K87" s="19" t="str">
        <f>TEXT(DaneCC[[#This Row],[Data]], "dddd")</f>
        <v>piątek</v>
      </c>
      <c r="L87" s="19" t="str">
        <f>TEXT(DaneCC[[#This Row],[Data]], "mmmm")</f>
        <v>marzec</v>
      </c>
      <c r="M87" s="28">
        <f>Parametry!$B$1</f>
        <v>0.85</v>
      </c>
      <c r="N87" s="28">
        <f>Parametry!$B$2</f>
        <v>0.8</v>
      </c>
      <c r="O87" s="19">
        <f>DaneCC[[#This Row],[Połączenia przychodzące]] * DaneCC[[#This Row],[Czas obsługi]]</f>
        <v>444600.59220779262</v>
      </c>
    </row>
    <row r="88" spans="1:15" x14ac:dyDescent="0.25">
      <c r="A88" s="5" t="s">
        <v>94</v>
      </c>
      <c r="B88" s="1" t="s">
        <v>7</v>
      </c>
      <c r="C88" s="6">
        <v>169</v>
      </c>
      <c r="D88" s="6">
        <v>128</v>
      </c>
      <c r="E88" s="7">
        <v>41</v>
      </c>
      <c r="F88" s="6">
        <v>587.7265625</v>
      </c>
      <c r="G88" s="6">
        <v>181.420634920635</v>
      </c>
      <c r="H88" s="24">
        <v>0.88</v>
      </c>
      <c r="I88" s="8">
        <v>0.5390625</v>
      </c>
      <c r="J88" s="19">
        <f>WEEKDAY(DaneCC[[#This Row],[Data]], 2)</f>
        <v>6</v>
      </c>
      <c r="K88" s="19" t="str">
        <f>TEXT(DaneCC[[#This Row],[Data]], "dddd")</f>
        <v>sobota</v>
      </c>
      <c r="L88" s="19" t="str">
        <f>TEXT(DaneCC[[#This Row],[Data]], "mmmm")</f>
        <v>marzec</v>
      </c>
      <c r="M88" s="28">
        <f>Parametry!$B$1</f>
        <v>0.85</v>
      </c>
      <c r="N88" s="28">
        <f>Parametry!$B$2</f>
        <v>0.8</v>
      </c>
      <c r="O88" s="19">
        <f>DaneCC[[#This Row],[Połączenia przychodzące]] * DaneCC[[#This Row],[Czas obsługi]]</f>
        <v>99325.7890625</v>
      </c>
    </row>
    <row r="89" spans="1:15" x14ac:dyDescent="0.25">
      <c r="A89" s="5" t="s">
        <v>95</v>
      </c>
      <c r="B89" s="1" t="s">
        <v>7</v>
      </c>
      <c r="C89" s="6">
        <v>86</v>
      </c>
      <c r="D89" s="6">
        <v>81</v>
      </c>
      <c r="E89" s="7">
        <v>5</v>
      </c>
      <c r="F89" s="6">
        <v>394.40740740740699</v>
      </c>
      <c r="G89" s="6">
        <v>66.839506172839506</v>
      </c>
      <c r="H89" s="24">
        <v>0.85000000000000009</v>
      </c>
      <c r="I89" s="8">
        <v>0.77777777777777801</v>
      </c>
      <c r="J89" s="19">
        <f>WEEKDAY(DaneCC[[#This Row],[Data]], 2)</f>
        <v>7</v>
      </c>
      <c r="K89" s="19" t="str">
        <f>TEXT(DaneCC[[#This Row],[Data]], "dddd")</f>
        <v>niedziela</v>
      </c>
      <c r="L89" s="19" t="str">
        <f>TEXT(DaneCC[[#This Row],[Data]], "mmmm")</f>
        <v>marzec</v>
      </c>
      <c r="M89" s="28">
        <f>Parametry!$B$1</f>
        <v>0.85</v>
      </c>
      <c r="N89" s="28">
        <f>Parametry!$B$2</f>
        <v>0.8</v>
      </c>
      <c r="O89" s="19">
        <f>DaneCC[[#This Row],[Połączenia przychodzące]] * DaneCC[[#This Row],[Czas obsługi]]</f>
        <v>33919.037037037</v>
      </c>
    </row>
    <row r="90" spans="1:15" x14ac:dyDescent="0.25">
      <c r="A90" s="5" t="s">
        <v>96</v>
      </c>
      <c r="B90" s="1" t="s">
        <v>7</v>
      </c>
      <c r="C90" s="6">
        <v>1104</v>
      </c>
      <c r="D90" s="6">
        <v>1055</v>
      </c>
      <c r="E90" s="7">
        <v>49</v>
      </c>
      <c r="F90" s="6">
        <v>551.45023696682495</v>
      </c>
      <c r="G90" s="6">
        <v>47.683206106870202</v>
      </c>
      <c r="H90" s="24">
        <v>0.83000000000000007</v>
      </c>
      <c r="I90" s="8">
        <v>0.79052132701421796</v>
      </c>
      <c r="J90" s="19">
        <f>WEEKDAY(DaneCC[[#This Row],[Data]], 2)</f>
        <v>1</v>
      </c>
      <c r="K90" s="19" t="str">
        <f>TEXT(DaneCC[[#This Row],[Data]], "dddd")</f>
        <v>poniedziałek</v>
      </c>
      <c r="L90" s="19" t="str">
        <f>TEXT(DaneCC[[#This Row],[Data]], "mmmm")</f>
        <v>marzec</v>
      </c>
      <c r="M90" s="28">
        <f>Parametry!$B$1</f>
        <v>0.85</v>
      </c>
      <c r="N90" s="28">
        <f>Parametry!$B$2</f>
        <v>0.8</v>
      </c>
      <c r="O90" s="19">
        <f>DaneCC[[#This Row],[Połączenia przychodzące]] * DaneCC[[#This Row],[Czas obsługi]]</f>
        <v>608801.06161137472</v>
      </c>
    </row>
    <row r="91" spans="1:15" x14ac:dyDescent="0.25">
      <c r="A91" s="5" t="s">
        <v>97</v>
      </c>
      <c r="B91" s="1" t="s">
        <v>7</v>
      </c>
      <c r="C91" s="6">
        <v>1166</v>
      </c>
      <c r="D91" s="6">
        <v>1089</v>
      </c>
      <c r="E91" s="7">
        <v>77</v>
      </c>
      <c r="F91" s="6">
        <v>562.48484848484804</v>
      </c>
      <c r="G91" s="6">
        <v>69.385899814471202</v>
      </c>
      <c r="H91" s="24">
        <v>0.85000000000000009</v>
      </c>
      <c r="I91" s="8">
        <v>0.62167125803489398</v>
      </c>
      <c r="J91" s="19">
        <f>WEEKDAY(DaneCC[[#This Row],[Data]], 2)</f>
        <v>2</v>
      </c>
      <c r="K91" s="19" t="str">
        <f>TEXT(DaneCC[[#This Row],[Data]], "dddd")</f>
        <v>wtorek</v>
      </c>
      <c r="L91" s="19" t="str">
        <f>TEXT(DaneCC[[#This Row],[Data]], "mmmm")</f>
        <v>marzec</v>
      </c>
      <c r="M91" s="28">
        <f>Parametry!$B$1</f>
        <v>0.85</v>
      </c>
      <c r="N91" s="28">
        <f>Parametry!$B$2</f>
        <v>0.8</v>
      </c>
      <c r="O91" s="19">
        <f>DaneCC[[#This Row],[Połączenia przychodzące]] * DaneCC[[#This Row],[Czas obsługi]]</f>
        <v>655857.33333333279</v>
      </c>
    </row>
    <row r="92" spans="1:15" x14ac:dyDescent="0.25">
      <c r="A92" s="5" t="s">
        <v>98</v>
      </c>
      <c r="B92" s="1" t="s">
        <v>7</v>
      </c>
      <c r="C92" s="6">
        <v>1028</v>
      </c>
      <c r="D92" s="6">
        <v>1008</v>
      </c>
      <c r="E92" s="7">
        <v>20</v>
      </c>
      <c r="F92" s="6">
        <v>564.18353174603203</v>
      </c>
      <c r="G92" s="6">
        <v>20.1586826347305</v>
      </c>
      <c r="H92" s="24">
        <v>0.87</v>
      </c>
      <c r="I92" s="8">
        <v>0.83531746031746001</v>
      </c>
      <c r="J92" s="19">
        <f>WEEKDAY(DaneCC[[#This Row],[Data]], 2)</f>
        <v>3</v>
      </c>
      <c r="K92" s="19" t="str">
        <f>TEXT(DaneCC[[#This Row],[Data]], "dddd")</f>
        <v>środa</v>
      </c>
      <c r="L92" s="19" t="str">
        <f>TEXT(DaneCC[[#This Row],[Data]], "mmmm")</f>
        <v>kwiecień</v>
      </c>
      <c r="M92" s="28">
        <f>Parametry!$B$1</f>
        <v>0.85</v>
      </c>
      <c r="N92" s="28">
        <f>Parametry!$B$2</f>
        <v>0.8</v>
      </c>
      <c r="O92" s="19">
        <f>DaneCC[[#This Row],[Połączenia przychodzące]] * DaneCC[[#This Row],[Czas obsługi]]</f>
        <v>579980.67063492094</v>
      </c>
    </row>
    <row r="93" spans="1:15" x14ac:dyDescent="0.25">
      <c r="A93" s="5" t="s">
        <v>99</v>
      </c>
      <c r="B93" s="1" t="s">
        <v>7</v>
      </c>
      <c r="C93" s="6">
        <v>969</v>
      </c>
      <c r="D93" s="6">
        <v>936</v>
      </c>
      <c r="E93" s="7">
        <v>33</v>
      </c>
      <c r="F93" s="6">
        <v>507.34294871794901</v>
      </c>
      <c r="G93" s="6">
        <v>27.192680301399399</v>
      </c>
      <c r="H93" s="24">
        <v>0.82000000000000006</v>
      </c>
      <c r="I93" s="8">
        <v>0.81730769230769196</v>
      </c>
      <c r="J93" s="19">
        <f>WEEKDAY(DaneCC[[#This Row],[Data]], 2)</f>
        <v>4</v>
      </c>
      <c r="K93" s="19" t="str">
        <f>TEXT(DaneCC[[#This Row],[Data]], "dddd")</f>
        <v>czwartek</v>
      </c>
      <c r="L93" s="19" t="str">
        <f>TEXT(DaneCC[[#This Row],[Data]], "mmmm")</f>
        <v>kwiecień</v>
      </c>
      <c r="M93" s="28">
        <f>Parametry!$B$1</f>
        <v>0.85</v>
      </c>
      <c r="N93" s="28">
        <f>Parametry!$B$2</f>
        <v>0.8</v>
      </c>
      <c r="O93" s="19">
        <f>DaneCC[[#This Row],[Połączenia przychodzące]] * DaneCC[[#This Row],[Czas obsługi]]</f>
        <v>491615.3173076926</v>
      </c>
    </row>
    <row r="94" spans="1:15" x14ac:dyDescent="0.25">
      <c r="A94" s="5" t="s">
        <v>100</v>
      </c>
      <c r="B94" s="1" t="s">
        <v>7</v>
      </c>
      <c r="C94" s="6">
        <v>703</v>
      </c>
      <c r="D94" s="6">
        <v>692</v>
      </c>
      <c r="E94" s="7">
        <v>11</v>
      </c>
      <c r="F94" s="6">
        <v>497.05057803468202</v>
      </c>
      <c r="G94" s="6">
        <v>13.3255813953488</v>
      </c>
      <c r="H94" s="24">
        <v>0.81</v>
      </c>
      <c r="I94" s="8">
        <v>0.93208092485549099</v>
      </c>
      <c r="J94" s="19">
        <f>WEEKDAY(DaneCC[[#This Row],[Data]], 2)</f>
        <v>5</v>
      </c>
      <c r="K94" s="19" t="str">
        <f>TEXT(DaneCC[[#This Row],[Data]], "dddd")</f>
        <v>piątek</v>
      </c>
      <c r="L94" s="19" t="str">
        <f>TEXT(DaneCC[[#This Row],[Data]], "mmmm")</f>
        <v>kwiecień</v>
      </c>
      <c r="M94" s="28">
        <f>Parametry!$B$1</f>
        <v>0.85</v>
      </c>
      <c r="N94" s="28">
        <f>Parametry!$B$2</f>
        <v>0.8</v>
      </c>
      <c r="O94" s="19">
        <f>DaneCC[[#This Row],[Połączenia przychodzące]] * DaneCC[[#This Row],[Czas obsługi]]</f>
        <v>349426.55635838147</v>
      </c>
    </row>
    <row r="95" spans="1:15" x14ac:dyDescent="0.25">
      <c r="A95" s="5" t="s">
        <v>101</v>
      </c>
      <c r="B95" s="1" t="s">
        <v>7</v>
      </c>
      <c r="C95" s="6">
        <v>111</v>
      </c>
      <c r="D95" s="6">
        <v>105</v>
      </c>
      <c r="E95" s="7">
        <v>6</v>
      </c>
      <c r="F95" s="6">
        <v>435.57142857142901</v>
      </c>
      <c r="G95" s="6">
        <v>50.378640776699001</v>
      </c>
      <c r="H95" s="24">
        <v>0.84000000000000008</v>
      </c>
      <c r="I95" s="8">
        <v>0.790476190476191</v>
      </c>
      <c r="J95" s="19">
        <f>WEEKDAY(DaneCC[[#This Row],[Data]], 2)</f>
        <v>6</v>
      </c>
      <c r="K95" s="19" t="str">
        <f>TEXT(DaneCC[[#This Row],[Data]], "dddd")</f>
        <v>sobota</v>
      </c>
      <c r="L95" s="19" t="str">
        <f>TEXT(DaneCC[[#This Row],[Data]], "mmmm")</f>
        <v>kwiecień</v>
      </c>
      <c r="M95" s="28">
        <f>Parametry!$B$1</f>
        <v>0.85</v>
      </c>
      <c r="N95" s="28">
        <f>Parametry!$B$2</f>
        <v>0.8</v>
      </c>
      <c r="O95" s="19">
        <f>DaneCC[[#This Row],[Połączenia przychodzące]] * DaneCC[[#This Row],[Czas obsługi]]</f>
        <v>48348.428571428623</v>
      </c>
    </row>
    <row r="96" spans="1:15" x14ac:dyDescent="0.25">
      <c r="A96" s="5" t="s">
        <v>102</v>
      </c>
      <c r="B96" s="1" t="s">
        <v>7</v>
      </c>
      <c r="C96" s="6">
        <v>51</v>
      </c>
      <c r="D96" s="6">
        <v>47</v>
      </c>
      <c r="E96" s="7">
        <v>4</v>
      </c>
      <c r="F96" s="6">
        <v>404.44680851063799</v>
      </c>
      <c r="G96" s="6">
        <v>21.638297872340399</v>
      </c>
      <c r="H96" s="24">
        <v>0.88</v>
      </c>
      <c r="I96" s="8">
        <v>0.87234042553191504</v>
      </c>
      <c r="J96" s="19">
        <f>WEEKDAY(DaneCC[[#This Row],[Data]], 2)</f>
        <v>7</v>
      </c>
      <c r="K96" s="19" t="str">
        <f>TEXT(DaneCC[[#This Row],[Data]], "dddd")</f>
        <v>niedziela</v>
      </c>
      <c r="L96" s="19" t="str">
        <f>TEXT(DaneCC[[#This Row],[Data]], "mmmm")</f>
        <v>kwiecień</v>
      </c>
      <c r="M96" s="28">
        <f>Parametry!$B$1</f>
        <v>0.85</v>
      </c>
      <c r="N96" s="28">
        <f>Parametry!$B$2</f>
        <v>0.8</v>
      </c>
      <c r="O96" s="19">
        <f>DaneCC[[#This Row],[Połączenia przychodzące]] * DaneCC[[#This Row],[Czas obsługi]]</f>
        <v>20626.787234042538</v>
      </c>
    </row>
    <row r="97" spans="1:15" x14ac:dyDescent="0.25">
      <c r="A97" s="5" t="s">
        <v>103</v>
      </c>
      <c r="B97" s="1" t="s">
        <v>7</v>
      </c>
      <c r="C97" s="6">
        <v>93</v>
      </c>
      <c r="D97" s="6">
        <v>76</v>
      </c>
      <c r="E97" s="7">
        <v>17</v>
      </c>
      <c r="F97" s="6">
        <v>378.43421052631601</v>
      </c>
      <c r="G97" s="6">
        <v>69.447368421052602</v>
      </c>
      <c r="H97" s="24">
        <v>0.86</v>
      </c>
      <c r="I97" s="8">
        <v>0.75</v>
      </c>
      <c r="J97" s="19">
        <f>WEEKDAY(DaneCC[[#This Row],[Data]], 2)</f>
        <v>1</v>
      </c>
      <c r="K97" s="19" t="str">
        <f>TEXT(DaneCC[[#This Row],[Data]], "dddd")</f>
        <v>poniedziałek</v>
      </c>
      <c r="L97" s="19" t="str">
        <f>TEXT(DaneCC[[#This Row],[Data]], "mmmm")</f>
        <v>kwiecień</v>
      </c>
      <c r="M97" s="28">
        <f>Parametry!$B$1</f>
        <v>0.85</v>
      </c>
      <c r="N97" s="28">
        <f>Parametry!$B$2</f>
        <v>0.8</v>
      </c>
      <c r="O97" s="19">
        <f>DaneCC[[#This Row],[Połączenia przychodzące]] * DaneCC[[#This Row],[Czas obsługi]]</f>
        <v>35194.381578947388</v>
      </c>
    </row>
    <row r="98" spans="1:15" x14ac:dyDescent="0.25">
      <c r="A98" s="5" t="s">
        <v>104</v>
      </c>
      <c r="B98" s="1" t="s">
        <v>7</v>
      </c>
      <c r="C98" s="6">
        <v>1120</v>
      </c>
      <c r="D98" s="6">
        <v>1083</v>
      </c>
      <c r="E98" s="7">
        <v>37</v>
      </c>
      <c r="F98" s="6">
        <v>536.40812557710103</v>
      </c>
      <c r="G98" s="6">
        <v>38.008372093023297</v>
      </c>
      <c r="H98" s="24">
        <v>0.88</v>
      </c>
      <c r="I98" s="8">
        <v>0.77654662973222499</v>
      </c>
      <c r="J98" s="19">
        <f>WEEKDAY(DaneCC[[#This Row],[Data]], 2)</f>
        <v>2</v>
      </c>
      <c r="K98" s="19" t="str">
        <f>TEXT(DaneCC[[#This Row],[Data]], "dddd")</f>
        <v>wtorek</v>
      </c>
      <c r="L98" s="19" t="str">
        <f>TEXT(DaneCC[[#This Row],[Data]], "mmmm")</f>
        <v>kwiecień</v>
      </c>
      <c r="M98" s="28">
        <f>Parametry!$B$1</f>
        <v>0.85</v>
      </c>
      <c r="N98" s="28">
        <f>Parametry!$B$2</f>
        <v>0.8</v>
      </c>
      <c r="O98" s="19">
        <f>DaneCC[[#This Row],[Połączenia przychodzące]] * DaneCC[[#This Row],[Czas obsługi]]</f>
        <v>600777.10064635321</v>
      </c>
    </row>
    <row r="99" spans="1:15" x14ac:dyDescent="0.25">
      <c r="A99" s="5" t="s">
        <v>105</v>
      </c>
      <c r="B99" s="1" t="s">
        <v>7</v>
      </c>
      <c r="C99" s="6">
        <v>1108</v>
      </c>
      <c r="D99" s="6">
        <v>1068</v>
      </c>
      <c r="E99" s="7">
        <v>40</v>
      </c>
      <c r="F99" s="6">
        <v>542.32865168539297</v>
      </c>
      <c r="G99" s="6">
        <v>29.883568075117399</v>
      </c>
      <c r="H99" s="24">
        <v>0.89</v>
      </c>
      <c r="I99" s="8">
        <v>0.80337078651685401</v>
      </c>
      <c r="J99" s="19">
        <f>WEEKDAY(DaneCC[[#This Row],[Data]], 2)</f>
        <v>3</v>
      </c>
      <c r="K99" s="19" t="str">
        <f>TEXT(DaneCC[[#This Row],[Data]], "dddd")</f>
        <v>środa</v>
      </c>
      <c r="L99" s="19" t="str">
        <f>TEXT(DaneCC[[#This Row],[Data]], "mmmm")</f>
        <v>kwiecień</v>
      </c>
      <c r="M99" s="28">
        <f>Parametry!$B$1</f>
        <v>0.85</v>
      </c>
      <c r="N99" s="28">
        <f>Parametry!$B$2</f>
        <v>0.8</v>
      </c>
      <c r="O99" s="19">
        <f>DaneCC[[#This Row],[Połączenia przychodzące]] * DaneCC[[#This Row],[Czas obsługi]]</f>
        <v>600900.14606741536</v>
      </c>
    </row>
    <row r="100" spans="1:15" x14ac:dyDescent="0.25">
      <c r="A100" s="5" t="s">
        <v>106</v>
      </c>
      <c r="B100" s="1" t="s">
        <v>7</v>
      </c>
      <c r="C100" s="6">
        <v>1172</v>
      </c>
      <c r="D100" s="6">
        <v>1078</v>
      </c>
      <c r="E100" s="7">
        <v>94</v>
      </c>
      <c r="F100" s="6">
        <v>509.86734693877497</v>
      </c>
      <c r="G100" s="6">
        <v>45.376283846872099</v>
      </c>
      <c r="H100" s="24">
        <v>0.87</v>
      </c>
      <c r="I100" s="8">
        <v>0.72541743970315398</v>
      </c>
      <c r="J100" s="19">
        <f>WEEKDAY(DaneCC[[#This Row],[Data]], 2)</f>
        <v>4</v>
      </c>
      <c r="K100" s="19" t="str">
        <f>TEXT(DaneCC[[#This Row],[Data]], "dddd")</f>
        <v>czwartek</v>
      </c>
      <c r="L100" s="19" t="str">
        <f>TEXT(DaneCC[[#This Row],[Data]], "mmmm")</f>
        <v>kwiecień</v>
      </c>
      <c r="M100" s="28">
        <f>Parametry!$B$1</f>
        <v>0.85</v>
      </c>
      <c r="N100" s="28">
        <f>Parametry!$B$2</f>
        <v>0.8</v>
      </c>
      <c r="O100" s="19">
        <f>DaneCC[[#This Row],[Połączenia przychodzące]] * DaneCC[[#This Row],[Czas obsługi]]</f>
        <v>597564.53061224427</v>
      </c>
    </row>
    <row r="101" spans="1:15" x14ac:dyDescent="0.25">
      <c r="A101" s="5" t="s">
        <v>107</v>
      </c>
      <c r="B101" s="1" t="s">
        <v>7</v>
      </c>
      <c r="C101" s="6">
        <v>961</v>
      </c>
      <c r="D101" s="6">
        <v>937</v>
      </c>
      <c r="E101" s="7">
        <v>24</v>
      </c>
      <c r="F101" s="6">
        <v>503.56883671291399</v>
      </c>
      <c r="G101" s="6">
        <v>21.649141630901301</v>
      </c>
      <c r="H101" s="24">
        <v>0.89</v>
      </c>
      <c r="I101" s="8">
        <v>0.83884738527214497</v>
      </c>
      <c r="J101" s="19">
        <f>WEEKDAY(DaneCC[[#This Row],[Data]], 2)</f>
        <v>5</v>
      </c>
      <c r="K101" s="19" t="str">
        <f>TEXT(DaneCC[[#This Row],[Data]], "dddd")</f>
        <v>piątek</v>
      </c>
      <c r="L101" s="19" t="str">
        <f>TEXT(DaneCC[[#This Row],[Data]], "mmmm")</f>
        <v>kwiecień</v>
      </c>
      <c r="M101" s="28">
        <f>Parametry!$B$1</f>
        <v>0.85</v>
      </c>
      <c r="N101" s="28">
        <f>Parametry!$B$2</f>
        <v>0.8</v>
      </c>
      <c r="O101" s="19">
        <f>DaneCC[[#This Row],[Połączenia przychodzące]] * DaneCC[[#This Row],[Czas obsługi]]</f>
        <v>483929.65208111034</v>
      </c>
    </row>
    <row r="102" spans="1:15" x14ac:dyDescent="0.25">
      <c r="A102" s="5" t="s">
        <v>108</v>
      </c>
      <c r="B102" s="1" t="s">
        <v>7</v>
      </c>
      <c r="C102" s="6">
        <v>179</v>
      </c>
      <c r="D102" s="6">
        <v>146</v>
      </c>
      <c r="E102" s="7">
        <v>33</v>
      </c>
      <c r="F102" s="6">
        <v>521.72602739726005</v>
      </c>
      <c r="G102" s="6">
        <v>100.383561643836</v>
      </c>
      <c r="H102" s="24">
        <v>0.86</v>
      </c>
      <c r="I102" s="8">
        <v>0.62328767123287698</v>
      </c>
      <c r="J102" s="19">
        <f>WEEKDAY(DaneCC[[#This Row],[Data]], 2)</f>
        <v>6</v>
      </c>
      <c r="K102" s="19" t="str">
        <f>TEXT(DaneCC[[#This Row],[Data]], "dddd")</f>
        <v>sobota</v>
      </c>
      <c r="L102" s="19" t="str">
        <f>TEXT(DaneCC[[#This Row],[Data]], "mmmm")</f>
        <v>kwiecień</v>
      </c>
      <c r="M102" s="28">
        <f>Parametry!$B$1</f>
        <v>0.85</v>
      </c>
      <c r="N102" s="28">
        <f>Parametry!$B$2</f>
        <v>0.8</v>
      </c>
      <c r="O102" s="19">
        <f>DaneCC[[#This Row],[Połączenia przychodzące]] * DaneCC[[#This Row],[Czas obsługi]]</f>
        <v>93388.958904109546</v>
      </c>
    </row>
    <row r="103" spans="1:15" x14ac:dyDescent="0.25">
      <c r="A103" s="5" t="s">
        <v>109</v>
      </c>
      <c r="B103" s="1" t="s">
        <v>7</v>
      </c>
      <c r="C103" s="6">
        <v>119</v>
      </c>
      <c r="D103" s="6">
        <v>98</v>
      </c>
      <c r="E103" s="7">
        <v>21</v>
      </c>
      <c r="F103" s="6">
        <v>449.27551020408202</v>
      </c>
      <c r="G103" s="6">
        <v>169.432989690722</v>
      </c>
      <c r="H103" s="24">
        <v>0.83000000000000007</v>
      </c>
      <c r="I103" s="8">
        <v>0.65306122448979598</v>
      </c>
      <c r="J103" s="19">
        <f>WEEKDAY(DaneCC[[#This Row],[Data]], 2)</f>
        <v>7</v>
      </c>
      <c r="K103" s="19" t="str">
        <f>TEXT(DaneCC[[#This Row],[Data]], "dddd")</f>
        <v>niedziela</v>
      </c>
      <c r="L103" s="19" t="str">
        <f>TEXT(DaneCC[[#This Row],[Data]], "mmmm")</f>
        <v>kwiecień</v>
      </c>
      <c r="M103" s="28">
        <f>Parametry!$B$1</f>
        <v>0.85</v>
      </c>
      <c r="N103" s="28">
        <f>Parametry!$B$2</f>
        <v>0.8</v>
      </c>
      <c r="O103" s="19">
        <f>DaneCC[[#This Row],[Połączenia przychodzące]] * DaneCC[[#This Row],[Czas obsługi]]</f>
        <v>53463.785714285761</v>
      </c>
    </row>
    <row r="104" spans="1:15" x14ac:dyDescent="0.25">
      <c r="A104" s="5" t="s">
        <v>110</v>
      </c>
      <c r="B104" s="1" t="s">
        <v>7</v>
      </c>
      <c r="C104" s="6">
        <v>1134</v>
      </c>
      <c r="D104" s="6">
        <v>1089</v>
      </c>
      <c r="E104" s="7">
        <v>45</v>
      </c>
      <c r="F104" s="6">
        <v>524.55280073461904</v>
      </c>
      <c r="G104" s="6">
        <v>26.9926199261993</v>
      </c>
      <c r="H104" s="24">
        <v>0.84000000000000008</v>
      </c>
      <c r="I104" s="8">
        <v>0.80073461891643705</v>
      </c>
      <c r="J104" s="19">
        <f>WEEKDAY(DaneCC[[#This Row],[Data]], 2)</f>
        <v>1</v>
      </c>
      <c r="K104" s="19" t="str">
        <f>TEXT(DaneCC[[#This Row],[Data]], "dddd")</f>
        <v>poniedziałek</v>
      </c>
      <c r="L104" s="19" t="str">
        <f>TEXT(DaneCC[[#This Row],[Data]], "mmmm")</f>
        <v>kwiecień</v>
      </c>
      <c r="M104" s="28">
        <f>Parametry!$B$1</f>
        <v>0.85</v>
      </c>
      <c r="N104" s="28">
        <f>Parametry!$B$2</f>
        <v>0.8</v>
      </c>
      <c r="O104" s="19">
        <f>DaneCC[[#This Row],[Połączenia przychodzące]] * DaneCC[[#This Row],[Czas obsługi]]</f>
        <v>594842.87603305804</v>
      </c>
    </row>
    <row r="105" spans="1:15" x14ac:dyDescent="0.25">
      <c r="A105" s="5" t="s">
        <v>111</v>
      </c>
      <c r="B105" s="1" t="s">
        <v>7</v>
      </c>
      <c r="C105" s="6">
        <v>1226</v>
      </c>
      <c r="D105" s="6">
        <v>1128</v>
      </c>
      <c r="E105" s="7">
        <v>98</v>
      </c>
      <c r="F105" s="6">
        <v>516.54787234042601</v>
      </c>
      <c r="G105" s="6">
        <v>61.123104371097199</v>
      </c>
      <c r="H105" s="24">
        <v>0.88</v>
      </c>
      <c r="I105" s="8">
        <v>0.64273049645390101</v>
      </c>
      <c r="J105" s="19">
        <f>WEEKDAY(DaneCC[[#This Row],[Data]], 2)</f>
        <v>2</v>
      </c>
      <c r="K105" s="19" t="str">
        <f>TEXT(DaneCC[[#This Row],[Data]], "dddd")</f>
        <v>wtorek</v>
      </c>
      <c r="L105" s="19" t="str">
        <f>TEXT(DaneCC[[#This Row],[Data]], "mmmm")</f>
        <v>kwiecień</v>
      </c>
      <c r="M105" s="28">
        <f>Parametry!$B$1</f>
        <v>0.85</v>
      </c>
      <c r="N105" s="28">
        <f>Parametry!$B$2</f>
        <v>0.8</v>
      </c>
      <c r="O105" s="19">
        <f>DaneCC[[#This Row],[Połączenia przychodzące]] * DaneCC[[#This Row],[Czas obsługi]]</f>
        <v>633287.69148936227</v>
      </c>
    </row>
    <row r="106" spans="1:15" x14ac:dyDescent="0.25">
      <c r="A106" s="5" t="s">
        <v>112</v>
      </c>
      <c r="B106" s="1" t="s">
        <v>7</v>
      </c>
      <c r="C106" s="6">
        <v>1017</v>
      </c>
      <c r="D106" s="6">
        <v>991</v>
      </c>
      <c r="E106" s="7">
        <v>26</v>
      </c>
      <c r="F106" s="6">
        <v>534.76992936427803</v>
      </c>
      <c r="G106" s="6">
        <v>17.153380423814301</v>
      </c>
      <c r="H106" s="24">
        <v>0.89</v>
      </c>
      <c r="I106" s="8">
        <v>0.84460141271443001</v>
      </c>
      <c r="J106" s="19">
        <f>WEEKDAY(DaneCC[[#This Row],[Data]], 2)</f>
        <v>3</v>
      </c>
      <c r="K106" s="19" t="str">
        <f>TEXT(DaneCC[[#This Row],[Data]], "dddd")</f>
        <v>środa</v>
      </c>
      <c r="L106" s="19" t="str">
        <f>TEXT(DaneCC[[#This Row],[Data]], "mmmm")</f>
        <v>kwiecień</v>
      </c>
      <c r="M106" s="28">
        <f>Parametry!$B$1</f>
        <v>0.85</v>
      </c>
      <c r="N106" s="28">
        <f>Parametry!$B$2</f>
        <v>0.8</v>
      </c>
      <c r="O106" s="19">
        <f>DaneCC[[#This Row],[Połączenia przychodzące]] * DaneCC[[#This Row],[Czas obsługi]]</f>
        <v>543861.01816347078</v>
      </c>
    </row>
    <row r="107" spans="1:15" x14ac:dyDescent="0.25">
      <c r="A107" s="5" t="s">
        <v>113</v>
      </c>
      <c r="B107" s="1" t="s">
        <v>7</v>
      </c>
      <c r="C107" s="6">
        <v>994</v>
      </c>
      <c r="D107" s="6">
        <v>969</v>
      </c>
      <c r="E107" s="7">
        <v>25</v>
      </c>
      <c r="F107" s="6">
        <v>532.64602683178498</v>
      </c>
      <c r="G107" s="6">
        <v>21.259067357513</v>
      </c>
      <c r="H107" s="24">
        <v>0.89</v>
      </c>
      <c r="I107" s="8">
        <v>0.84107327141382904</v>
      </c>
      <c r="J107" s="19">
        <f>WEEKDAY(DaneCC[[#This Row],[Data]], 2)</f>
        <v>4</v>
      </c>
      <c r="K107" s="19" t="str">
        <f>TEXT(DaneCC[[#This Row],[Data]], "dddd")</f>
        <v>czwartek</v>
      </c>
      <c r="L107" s="19" t="str">
        <f>TEXT(DaneCC[[#This Row],[Data]], "mmmm")</f>
        <v>kwiecień</v>
      </c>
      <c r="M107" s="28">
        <f>Parametry!$B$1</f>
        <v>0.85</v>
      </c>
      <c r="N107" s="28">
        <f>Parametry!$B$2</f>
        <v>0.8</v>
      </c>
      <c r="O107" s="19">
        <f>DaneCC[[#This Row],[Połączenia przychodzące]] * DaneCC[[#This Row],[Czas obsługi]]</f>
        <v>529450.1506707943</v>
      </c>
    </row>
    <row r="108" spans="1:15" x14ac:dyDescent="0.25">
      <c r="A108" s="5" t="s">
        <v>114</v>
      </c>
      <c r="B108" s="1" t="s">
        <v>7</v>
      </c>
      <c r="C108" s="6">
        <v>804</v>
      </c>
      <c r="D108" s="6">
        <v>784</v>
      </c>
      <c r="E108" s="7">
        <v>20</v>
      </c>
      <c r="F108" s="6">
        <v>563.36607142857099</v>
      </c>
      <c r="G108" s="6">
        <v>20.359795134443001</v>
      </c>
      <c r="H108" s="24">
        <v>0.84000000000000008</v>
      </c>
      <c r="I108" s="8">
        <v>0.87117346938775497</v>
      </c>
      <c r="J108" s="19">
        <f>WEEKDAY(DaneCC[[#This Row],[Data]], 2)</f>
        <v>5</v>
      </c>
      <c r="K108" s="19" t="str">
        <f>TEXT(DaneCC[[#This Row],[Data]], "dddd")</f>
        <v>piątek</v>
      </c>
      <c r="L108" s="19" t="str">
        <f>TEXT(DaneCC[[#This Row],[Data]], "mmmm")</f>
        <v>kwiecień</v>
      </c>
      <c r="M108" s="28">
        <f>Parametry!$B$1</f>
        <v>0.85</v>
      </c>
      <c r="N108" s="28">
        <f>Parametry!$B$2</f>
        <v>0.8</v>
      </c>
      <c r="O108" s="19">
        <f>DaneCC[[#This Row],[Połączenia przychodzące]] * DaneCC[[#This Row],[Czas obsługi]]</f>
        <v>452946.32142857107</v>
      </c>
    </row>
    <row r="109" spans="1:15" x14ac:dyDescent="0.25">
      <c r="A109" s="5" t="s">
        <v>115</v>
      </c>
      <c r="B109" s="1" t="s">
        <v>7</v>
      </c>
      <c r="C109" s="6">
        <v>133</v>
      </c>
      <c r="D109" s="6">
        <v>125</v>
      </c>
      <c r="E109" s="7">
        <v>8</v>
      </c>
      <c r="F109" s="6">
        <v>358.59199999999998</v>
      </c>
      <c r="G109" s="6">
        <v>63.254098360655703</v>
      </c>
      <c r="H109" s="24">
        <v>0.81</v>
      </c>
      <c r="I109" s="8">
        <v>0.70399999999999996</v>
      </c>
      <c r="J109" s="19">
        <f>WEEKDAY(DaneCC[[#This Row],[Data]], 2)</f>
        <v>6</v>
      </c>
      <c r="K109" s="19" t="str">
        <f>TEXT(DaneCC[[#This Row],[Data]], "dddd")</f>
        <v>sobota</v>
      </c>
      <c r="L109" s="19" t="str">
        <f>TEXT(DaneCC[[#This Row],[Data]], "mmmm")</f>
        <v>kwiecień</v>
      </c>
      <c r="M109" s="28">
        <f>Parametry!$B$1</f>
        <v>0.85</v>
      </c>
      <c r="N109" s="28">
        <f>Parametry!$B$2</f>
        <v>0.8</v>
      </c>
      <c r="O109" s="19">
        <f>DaneCC[[#This Row],[Połączenia przychodzące]] * DaneCC[[#This Row],[Czas obsługi]]</f>
        <v>47692.735999999997</v>
      </c>
    </row>
    <row r="110" spans="1:15" x14ac:dyDescent="0.25">
      <c r="A110" s="5" t="s">
        <v>116</v>
      </c>
      <c r="B110" s="1" t="s">
        <v>7</v>
      </c>
      <c r="C110" s="6">
        <v>127</v>
      </c>
      <c r="D110" s="6">
        <v>115</v>
      </c>
      <c r="E110" s="7">
        <v>12</v>
      </c>
      <c r="F110" s="6">
        <v>292.21739130434798</v>
      </c>
      <c r="G110" s="6">
        <v>55.339130434782597</v>
      </c>
      <c r="H110" s="24">
        <v>0.83000000000000007</v>
      </c>
      <c r="I110" s="8">
        <v>0.75652173913043497</v>
      </c>
      <c r="J110" s="19">
        <f>WEEKDAY(DaneCC[[#This Row],[Data]], 2)</f>
        <v>7</v>
      </c>
      <c r="K110" s="19" t="str">
        <f>TEXT(DaneCC[[#This Row],[Data]], "dddd")</f>
        <v>niedziela</v>
      </c>
      <c r="L110" s="19" t="str">
        <f>TEXT(DaneCC[[#This Row],[Data]], "mmmm")</f>
        <v>kwiecień</v>
      </c>
      <c r="M110" s="28">
        <f>Parametry!$B$1</f>
        <v>0.85</v>
      </c>
      <c r="N110" s="28">
        <f>Parametry!$B$2</f>
        <v>0.8</v>
      </c>
      <c r="O110" s="19">
        <f>DaneCC[[#This Row],[Połączenia przychodzące]] * DaneCC[[#This Row],[Czas obsługi]]</f>
        <v>37111.60869565219</v>
      </c>
    </row>
    <row r="111" spans="1:15" x14ac:dyDescent="0.25">
      <c r="A111" s="5" t="s">
        <v>117</v>
      </c>
      <c r="B111" s="1" t="s">
        <v>7</v>
      </c>
      <c r="C111" s="6">
        <v>1208</v>
      </c>
      <c r="D111" s="6">
        <v>1142</v>
      </c>
      <c r="E111" s="7">
        <v>66</v>
      </c>
      <c r="F111" s="6">
        <v>537.50700525393995</v>
      </c>
      <c r="G111" s="6">
        <v>34.2877316857899</v>
      </c>
      <c r="H111" s="24">
        <v>0.87</v>
      </c>
      <c r="I111" s="8">
        <v>0.79772329246935203</v>
      </c>
      <c r="J111" s="19">
        <f>WEEKDAY(DaneCC[[#This Row],[Data]], 2)</f>
        <v>1</v>
      </c>
      <c r="K111" s="19" t="str">
        <f>TEXT(DaneCC[[#This Row],[Data]], "dddd")</f>
        <v>poniedziałek</v>
      </c>
      <c r="L111" s="19" t="str">
        <f>TEXT(DaneCC[[#This Row],[Data]], "mmmm")</f>
        <v>kwiecień</v>
      </c>
      <c r="M111" s="28">
        <f>Parametry!$B$1</f>
        <v>0.85</v>
      </c>
      <c r="N111" s="28">
        <f>Parametry!$B$2</f>
        <v>0.8</v>
      </c>
      <c r="O111" s="19">
        <f>DaneCC[[#This Row],[Połączenia przychodzące]] * DaneCC[[#This Row],[Czas obsługi]]</f>
        <v>649308.46234675951</v>
      </c>
    </row>
    <row r="112" spans="1:15" x14ac:dyDescent="0.25">
      <c r="A112" s="5" t="s">
        <v>118</v>
      </c>
      <c r="B112" s="1" t="s">
        <v>7</v>
      </c>
      <c r="C112" s="6">
        <v>920</v>
      </c>
      <c r="D112" s="6">
        <v>909</v>
      </c>
      <c r="E112" s="7">
        <v>11</v>
      </c>
      <c r="F112" s="6">
        <v>554.25852585258497</v>
      </c>
      <c r="G112" s="6">
        <v>23.492204899777299</v>
      </c>
      <c r="H112" s="24">
        <v>0.86</v>
      </c>
      <c r="I112" s="8">
        <v>0.83718371837183703</v>
      </c>
      <c r="J112" s="19">
        <f>WEEKDAY(DaneCC[[#This Row],[Data]], 2)</f>
        <v>2</v>
      </c>
      <c r="K112" s="19" t="str">
        <f>TEXT(DaneCC[[#This Row],[Data]], "dddd")</f>
        <v>wtorek</v>
      </c>
      <c r="L112" s="19" t="str">
        <f>TEXT(DaneCC[[#This Row],[Data]], "mmmm")</f>
        <v>kwiecień</v>
      </c>
      <c r="M112" s="28">
        <f>Parametry!$B$1</f>
        <v>0.85</v>
      </c>
      <c r="N112" s="28">
        <f>Parametry!$B$2</f>
        <v>0.8</v>
      </c>
      <c r="O112" s="19">
        <f>DaneCC[[#This Row],[Połączenia przychodzące]] * DaneCC[[#This Row],[Czas obsługi]]</f>
        <v>509917.84378437814</v>
      </c>
    </row>
    <row r="113" spans="1:15" x14ac:dyDescent="0.25">
      <c r="A113" s="5" t="s">
        <v>119</v>
      </c>
      <c r="B113" s="1" t="s">
        <v>7</v>
      </c>
      <c r="C113" s="6">
        <v>964</v>
      </c>
      <c r="D113" s="6">
        <v>933</v>
      </c>
      <c r="E113" s="7">
        <v>31</v>
      </c>
      <c r="F113" s="6">
        <v>515.83065380492997</v>
      </c>
      <c r="G113" s="6">
        <v>34.1666666666667</v>
      </c>
      <c r="H113" s="24">
        <v>0.82000000000000006</v>
      </c>
      <c r="I113" s="8">
        <v>0.78456591639871398</v>
      </c>
      <c r="J113" s="19">
        <f>WEEKDAY(DaneCC[[#This Row],[Data]], 2)</f>
        <v>3</v>
      </c>
      <c r="K113" s="19" t="str">
        <f>TEXT(DaneCC[[#This Row],[Data]], "dddd")</f>
        <v>środa</v>
      </c>
      <c r="L113" s="19" t="str">
        <f>TEXT(DaneCC[[#This Row],[Data]], "mmmm")</f>
        <v>kwiecień</v>
      </c>
      <c r="M113" s="28">
        <f>Parametry!$B$1</f>
        <v>0.85</v>
      </c>
      <c r="N113" s="28">
        <f>Parametry!$B$2</f>
        <v>0.8</v>
      </c>
      <c r="O113" s="19">
        <f>DaneCC[[#This Row],[Połączenia przychodzące]] * DaneCC[[#This Row],[Czas obsługi]]</f>
        <v>497260.75026795251</v>
      </c>
    </row>
    <row r="114" spans="1:15" x14ac:dyDescent="0.25">
      <c r="A114" s="5" t="s">
        <v>120</v>
      </c>
      <c r="B114" s="1" t="s">
        <v>7</v>
      </c>
      <c r="C114" s="6">
        <v>955</v>
      </c>
      <c r="D114" s="6">
        <v>923</v>
      </c>
      <c r="E114" s="7">
        <v>32</v>
      </c>
      <c r="F114" s="6">
        <v>558.60021668472405</v>
      </c>
      <c r="G114" s="6">
        <v>21.162280701754401</v>
      </c>
      <c r="H114" s="24">
        <v>0.81</v>
      </c>
      <c r="I114" s="8">
        <v>0.83098591549295797</v>
      </c>
      <c r="J114" s="19">
        <f>WEEKDAY(DaneCC[[#This Row],[Data]], 2)</f>
        <v>4</v>
      </c>
      <c r="K114" s="19" t="str">
        <f>TEXT(DaneCC[[#This Row],[Data]], "dddd")</f>
        <v>czwartek</v>
      </c>
      <c r="L114" s="19" t="str">
        <f>TEXT(DaneCC[[#This Row],[Data]], "mmmm")</f>
        <v>kwiecień</v>
      </c>
      <c r="M114" s="28">
        <f>Parametry!$B$1</f>
        <v>0.85</v>
      </c>
      <c r="N114" s="28">
        <f>Parametry!$B$2</f>
        <v>0.8</v>
      </c>
      <c r="O114" s="19">
        <f>DaneCC[[#This Row],[Połączenia przychodzące]] * DaneCC[[#This Row],[Czas obsługi]]</f>
        <v>533463.20693391142</v>
      </c>
    </row>
    <row r="115" spans="1:15" x14ac:dyDescent="0.25">
      <c r="A115" s="5" t="s">
        <v>121</v>
      </c>
      <c r="B115" s="1" t="s">
        <v>7</v>
      </c>
      <c r="C115" s="6">
        <v>907</v>
      </c>
      <c r="D115" s="6">
        <v>883</v>
      </c>
      <c r="E115" s="7">
        <v>24</v>
      </c>
      <c r="F115" s="6">
        <v>519.35560588901501</v>
      </c>
      <c r="G115" s="6">
        <v>31.7667804323094</v>
      </c>
      <c r="H115" s="24">
        <v>0.89</v>
      </c>
      <c r="I115" s="8">
        <v>0.83012457531143802</v>
      </c>
      <c r="J115" s="19">
        <f>WEEKDAY(DaneCC[[#This Row],[Data]], 2)</f>
        <v>5</v>
      </c>
      <c r="K115" s="19" t="str">
        <f>TEXT(DaneCC[[#This Row],[Data]], "dddd")</f>
        <v>piątek</v>
      </c>
      <c r="L115" s="19" t="str">
        <f>TEXT(DaneCC[[#This Row],[Data]], "mmmm")</f>
        <v>kwiecień</v>
      </c>
      <c r="M115" s="28">
        <f>Parametry!$B$1</f>
        <v>0.85</v>
      </c>
      <c r="N115" s="28">
        <f>Parametry!$B$2</f>
        <v>0.8</v>
      </c>
      <c r="O115" s="19">
        <f>DaneCC[[#This Row],[Połączenia przychodzące]] * DaneCC[[#This Row],[Czas obsługi]]</f>
        <v>471055.53454133659</v>
      </c>
    </row>
    <row r="116" spans="1:15" x14ac:dyDescent="0.25">
      <c r="A116" s="5" t="s">
        <v>122</v>
      </c>
      <c r="B116" s="1" t="s">
        <v>7</v>
      </c>
      <c r="C116" s="6">
        <v>144</v>
      </c>
      <c r="D116" s="6">
        <v>132</v>
      </c>
      <c r="E116" s="7">
        <v>12</v>
      </c>
      <c r="F116" s="6">
        <v>545.030303030303</v>
      </c>
      <c r="G116" s="6">
        <v>72.854961832061093</v>
      </c>
      <c r="H116" s="24">
        <v>0.87</v>
      </c>
      <c r="I116" s="8">
        <v>0.70454545454545503</v>
      </c>
      <c r="J116" s="19">
        <f>WEEKDAY(DaneCC[[#This Row],[Data]], 2)</f>
        <v>6</v>
      </c>
      <c r="K116" s="19" t="str">
        <f>TEXT(DaneCC[[#This Row],[Data]], "dddd")</f>
        <v>sobota</v>
      </c>
      <c r="L116" s="19" t="str">
        <f>TEXT(DaneCC[[#This Row],[Data]], "mmmm")</f>
        <v>kwiecień</v>
      </c>
      <c r="M116" s="28">
        <f>Parametry!$B$1</f>
        <v>0.85</v>
      </c>
      <c r="N116" s="28">
        <f>Parametry!$B$2</f>
        <v>0.8</v>
      </c>
      <c r="O116" s="19">
        <f>DaneCC[[#This Row],[Połączenia przychodzące]] * DaneCC[[#This Row],[Czas obsługi]]</f>
        <v>78484.363636363632</v>
      </c>
    </row>
    <row r="117" spans="1:15" x14ac:dyDescent="0.25">
      <c r="A117" s="5" t="s">
        <v>123</v>
      </c>
      <c r="B117" s="1" t="s">
        <v>7</v>
      </c>
      <c r="C117" s="6">
        <v>116</v>
      </c>
      <c r="D117" s="6">
        <v>107</v>
      </c>
      <c r="E117" s="7">
        <v>9</v>
      </c>
      <c r="F117" s="6">
        <v>404.831775700935</v>
      </c>
      <c r="G117" s="6">
        <v>53.5</v>
      </c>
      <c r="H117" s="24">
        <v>0.81</v>
      </c>
      <c r="I117" s="8">
        <v>0.82242990654205606</v>
      </c>
      <c r="J117" s="19">
        <f>WEEKDAY(DaneCC[[#This Row],[Data]], 2)</f>
        <v>7</v>
      </c>
      <c r="K117" s="19" t="str">
        <f>TEXT(DaneCC[[#This Row],[Data]], "dddd")</f>
        <v>niedziela</v>
      </c>
      <c r="L117" s="19" t="str">
        <f>TEXT(DaneCC[[#This Row],[Data]], "mmmm")</f>
        <v>kwiecień</v>
      </c>
      <c r="M117" s="28">
        <f>Parametry!$B$1</f>
        <v>0.85</v>
      </c>
      <c r="N117" s="28">
        <f>Parametry!$B$2</f>
        <v>0.8</v>
      </c>
      <c r="O117" s="19">
        <f>DaneCC[[#This Row],[Połączenia przychodzące]] * DaneCC[[#This Row],[Czas obsługi]]</f>
        <v>46960.485981308462</v>
      </c>
    </row>
    <row r="118" spans="1:15" x14ac:dyDescent="0.25">
      <c r="A118" s="5" t="s">
        <v>124</v>
      </c>
      <c r="B118" s="1" t="s">
        <v>7</v>
      </c>
      <c r="C118" s="6">
        <v>1083</v>
      </c>
      <c r="D118" s="6">
        <v>1020</v>
      </c>
      <c r="E118" s="7">
        <v>63</v>
      </c>
      <c r="F118" s="6">
        <v>524.30784313725496</v>
      </c>
      <c r="G118" s="6">
        <v>50.075173095944599</v>
      </c>
      <c r="H118" s="24">
        <v>0.85000000000000009</v>
      </c>
      <c r="I118" s="8">
        <v>0.69803921568627503</v>
      </c>
      <c r="J118" s="19">
        <f>WEEKDAY(DaneCC[[#This Row],[Data]], 2)</f>
        <v>1</v>
      </c>
      <c r="K118" s="19" t="str">
        <f>TEXT(DaneCC[[#This Row],[Data]], "dddd")</f>
        <v>poniedziałek</v>
      </c>
      <c r="L118" s="19" t="str">
        <f>TEXT(DaneCC[[#This Row],[Data]], "mmmm")</f>
        <v>kwiecień</v>
      </c>
      <c r="M118" s="28">
        <f>Parametry!$B$1</f>
        <v>0.85</v>
      </c>
      <c r="N118" s="28">
        <f>Parametry!$B$2</f>
        <v>0.8</v>
      </c>
      <c r="O118" s="19">
        <f>DaneCC[[#This Row],[Połączenia przychodzące]] * DaneCC[[#This Row],[Czas obsługi]]</f>
        <v>567825.39411764708</v>
      </c>
    </row>
    <row r="119" spans="1:15" x14ac:dyDescent="0.25">
      <c r="A119" s="5" t="s">
        <v>125</v>
      </c>
      <c r="B119" s="1" t="s">
        <v>7</v>
      </c>
      <c r="C119" s="6">
        <v>964</v>
      </c>
      <c r="D119" s="6">
        <v>933</v>
      </c>
      <c r="E119" s="7">
        <v>31</v>
      </c>
      <c r="F119" s="6">
        <v>577.41693461950695</v>
      </c>
      <c r="G119" s="6">
        <v>24.556634304207101</v>
      </c>
      <c r="H119" s="24">
        <v>0.86</v>
      </c>
      <c r="I119" s="8">
        <v>0.83279742765273301</v>
      </c>
      <c r="J119" s="19">
        <f>WEEKDAY(DaneCC[[#This Row],[Data]], 2)</f>
        <v>2</v>
      </c>
      <c r="K119" s="19" t="str">
        <f>TEXT(DaneCC[[#This Row],[Data]], "dddd")</f>
        <v>wtorek</v>
      </c>
      <c r="L119" s="19" t="str">
        <f>TEXT(DaneCC[[#This Row],[Data]], "mmmm")</f>
        <v>kwiecień</v>
      </c>
      <c r="M119" s="28">
        <f>Parametry!$B$1</f>
        <v>0.85</v>
      </c>
      <c r="N119" s="28">
        <f>Parametry!$B$2</f>
        <v>0.8</v>
      </c>
      <c r="O119" s="19">
        <f>DaneCC[[#This Row],[Połączenia przychodzące]] * DaneCC[[#This Row],[Czas obsługi]]</f>
        <v>556629.92497320473</v>
      </c>
    </row>
    <row r="120" spans="1:15" x14ac:dyDescent="0.25">
      <c r="A120" s="5" t="s">
        <v>126</v>
      </c>
      <c r="B120" s="1" t="s">
        <v>7</v>
      </c>
      <c r="C120" s="6">
        <v>1080</v>
      </c>
      <c r="D120" s="6">
        <v>1012</v>
      </c>
      <c r="E120" s="7">
        <v>68</v>
      </c>
      <c r="F120" s="6">
        <v>563.73122529644297</v>
      </c>
      <c r="G120" s="6">
        <v>55.890873015872998</v>
      </c>
      <c r="H120" s="24">
        <v>0.84000000000000008</v>
      </c>
      <c r="I120" s="8">
        <v>0.66007905138339895</v>
      </c>
      <c r="J120" s="19">
        <f>WEEKDAY(DaneCC[[#This Row],[Data]], 2)</f>
        <v>3</v>
      </c>
      <c r="K120" s="19" t="str">
        <f>TEXT(DaneCC[[#This Row],[Data]], "dddd")</f>
        <v>środa</v>
      </c>
      <c r="L120" s="19" t="str">
        <f>TEXT(DaneCC[[#This Row],[Data]], "mmmm")</f>
        <v>kwiecień</v>
      </c>
      <c r="M120" s="28">
        <f>Parametry!$B$1</f>
        <v>0.85</v>
      </c>
      <c r="N120" s="28">
        <f>Parametry!$B$2</f>
        <v>0.8</v>
      </c>
      <c r="O120" s="19">
        <f>DaneCC[[#This Row],[Połączenia przychodzące]] * DaneCC[[#This Row],[Czas obsługi]]</f>
        <v>608829.72332015843</v>
      </c>
    </row>
    <row r="121" spans="1:15" x14ac:dyDescent="0.25">
      <c r="A121" s="5" t="s">
        <v>127</v>
      </c>
      <c r="B121" s="1" t="s">
        <v>7</v>
      </c>
      <c r="C121" s="6">
        <v>1088</v>
      </c>
      <c r="D121" s="6">
        <v>1003</v>
      </c>
      <c r="E121" s="7">
        <v>85</v>
      </c>
      <c r="F121" s="6">
        <v>572.73778664008</v>
      </c>
      <c r="G121" s="6">
        <v>62.634999999999998</v>
      </c>
      <c r="H121" s="24">
        <v>0.82000000000000006</v>
      </c>
      <c r="I121" s="8">
        <v>0.65503489531405801</v>
      </c>
      <c r="J121" s="19">
        <f>WEEKDAY(DaneCC[[#This Row],[Data]], 2)</f>
        <v>4</v>
      </c>
      <c r="K121" s="19" t="str">
        <f>TEXT(DaneCC[[#This Row],[Data]], "dddd")</f>
        <v>czwartek</v>
      </c>
      <c r="L121" s="19" t="str">
        <f>TEXT(DaneCC[[#This Row],[Data]], "mmmm")</f>
        <v>kwiecień</v>
      </c>
      <c r="M121" s="28">
        <f>Parametry!$B$1</f>
        <v>0.85</v>
      </c>
      <c r="N121" s="28">
        <f>Parametry!$B$2</f>
        <v>0.8</v>
      </c>
      <c r="O121" s="19">
        <f>DaneCC[[#This Row],[Połączenia przychodzące]] * DaneCC[[#This Row],[Czas obsługi]]</f>
        <v>623138.71186440706</v>
      </c>
    </row>
    <row r="122" spans="1:15" x14ac:dyDescent="0.25">
      <c r="A122" s="5" t="s">
        <v>128</v>
      </c>
      <c r="B122" s="1" t="s">
        <v>7</v>
      </c>
      <c r="C122" s="6">
        <v>125</v>
      </c>
      <c r="D122" s="6">
        <v>119</v>
      </c>
      <c r="E122" s="7">
        <v>6</v>
      </c>
      <c r="F122" s="6">
        <v>464.52100840336101</v>
      </c>
      <c r="G122" s="6">
        <v>28.554621848739501</v>
      </c>
      <c r="H122" s="24">
        <v>0.89</v>
      </c>
      <c r="I122" s="8">
        <v>0.82352941176470595</v>
      </c>
      <c r="J122" s="19">
        <f>WEEKDAY(DaneCC[[#This Row],[Data]], 2)</f>
        <v>5</v>
      </c>
      <c r="K122" s="19" t="str">
        <f>TEXT(DaneCC[[#This Row],[Data]], "dddd")</f>
        <v>piątek</v>
      </c>
      <c r="L122" s="19" t="str">
        <f>TEXT(DaneCC[[#This Row],[Data]], "mmmm")</f>
        <v>maj</v>
      </c>
      <c r="M122" s="28">
        <f>Parametry!$B$1</f>
        <v>0.85</v>
      </c>
      <c r="N122" s="28">
        <f>Parametry!$B$2</f>
        <v>0.8</v>
      </c>
      <c r="O122" s="19">
        <f>DaneCC[[#This Row],[Połączenia przychodzące]] * DaneCC[[#This Row],[Czas obsługi]]</f>
        <v>58065.126050420127</v>
      </c>
    </row>
    <row r="123" spans="1:15" x14ac:dyDescent="0.25">
      <c r="A123" s="5" t="s">
        <v>129</v>
      </c>
      <c r="B123" s="1" t="s">
        <v>7</v>
      </c>
      <c r="C123" s="6">
        <v>98</v>
      </c>
      <c r="D123" s="6">
        <v>93</v>
      </c>
      <c r="E123" s="7">
        <v>5</v>
      </c>
      <c r="F123" s="6">
        <v>449.20430107526897</v>
      </c>
      <c r="G123" s="6">
        <v>32.714285714285701</v>
      </c>
      <c r="H123" s="24">
        <v>0.83000000000000007</v>
      </c>
      <c r="I123" s="8">
        <v>0.82795698924731198</v>
      </c>
      <c r="J123" s="19">
        <f>WEEKDAY(DaneCC[[#This Row],[Data]], 2)</f>
        <v>6</v>
      </c>
      <c r="K123" s="19" t="str">
        <f>TEXT(DaneCC[[#This Row],[Data]], "dddd")</f>
        <v>sobota</v>
      </c>
      <c r="L123" s="19" t="str">
        <f>TEXT(DaneCC[[#This Row],[Data]], "mmmm")</f>
        <v>maj</v>
      </c>
      <c r="M123" s="28">
        <f>Parametry!$B$1</f>
        <v>0.85</v>
      </c>
      <c r="N123" s="28">
        <f>Parametry!$B$2</f>
        <v>0.8</v>
      </c>
      <c r="O123" s="19">
        <f>DaneCC[[#This Row],[Połączenia przychodzące]] * DaneCC[[#This Row],[Czas obsługi]]</f>
        <v>44022.02150537636</v>
      </c>
    </row>
    <row r="124" spans="1:15" x14ac:dyDescent="0.25">
      <c r="A124" s="5" t="s">
        <v>130</v>
      </c>
      <c r="B124" s="1" t="s">
        <v>7</v>
      </c>
      <c r="C124" s="6">
        <v>85</v>
      </c>
      <c r="D124" s="6">
        <v>82</v>
      </c>
      <c r="E124" s="7">
        <v>3</v>
      </c>
      <c r="F124" s="6">
        <v>451.82926829268303</v>
      </c>
      <c r="G124" s="6">
        <v>35.148148148148103</v>
      </c>
      <c r="H124" s="24">
        <v>0.86</v>
      </c>
      <c r="I124" s="8">
        <v>0.86585365853658502</v>
      </c>
      <c r="J124" s="19">
        <f>WEEKDAY(DaneCC[[#This Row],[Data]], 2)</f>
        <v>7</v>
      </c>
      <c r="K124" s="19" t="str">
        <f>TEXT(DaneCC[[#This Row],[Data]], "dddd")</f>
        <v>niedziela</v>
      </c>
      <c r="L124" s="19" t="str">
        <f>TEXT(DaneCC[[#This Row],[Data]], "mmmm")</f>
        <v>maj</v>
      </c>
      <c r="M124" s="28">
        <f>Parametry!$B$1</f>
        <v>0.85</v>
      </c>
      <c r="N124" s="28">
        <f>Parametry!$B$2</f>
        <v>0.8</v>
      </c>
      <c r="O124" s="19">
        <f>DaneCC[[#This Row],[Połączenia przychodzące]] * DaneCC[[#This Row],[Czas obsługi]]</f>
        <v>38405.487804878059</v>
      </c>
    </row>
    <row r="125" spans="1:15" x14ac:dyDescent="0.25">
      <c r="A125" s="5" t="s">
        <v>131</v>
      </c>
      <c r="B125" s="1" t="s">
        <v>7</v>
      </c>
      <c r="C125" s="6">
        <v>1410</v>
      </c>
      <c r="D125" s="6">
        <v>1376</v>
      </c>
      <c r="E125" s="7">
        <v>34</v>
      </c>
      <c r="F125" s="6">
        <v>569.74781976744202</v>
      </c>
      <c r="G125" s="6">
        <v>25.637226277372299</v>
      </c>
      <c r="H125" s="24">
        <v>0.87</v>
      </c>
      <c r="I125" s="8">
        <v>0.79215116279069797</v>
      </c>
      <c r="J125" s="19">
        <f>WEEKDAY(DaneCC[[#This Row],[Data]], 2)</f>
        <v>1</v>
      </c>
      <c r="K125" s="19" t="str">
        <f>TEXT(DaneCC[[#This Row],[Data]], "dddd")</f>
        <v>poniedziałek</v>
      </c>
      <c r="L125" s="19" t="str">
        <f>TEXT(DaneCC[[#This Row],[Data]], "mmmm")</f>
        <v>maj</v>
      </c>
      <c r="M125" s="28">
        <f>Parametry!$B$1</f>
        <v>0.85</v>
      </c>
      <c r="N125" s="28">
        <f>Parametry!$B$2</f>
        <v>0.8</v>
      </c>
      <c r="O125" s="19">
        <f>DaneCC[[#This Row],[Połączenia przychodzące]] * DaneCC[[#This Row],[Czas obsługi]]</f>
        <v>803344.4258720933</v>
      </c>
    </row>
    <row r="126" spans="1:15" x14ac:dyDescent="0.25">
      <c r="A126" s="5" t="s">
        <v>132</v>
      </c>
      <c r="B126" s="1" t="s">
        <v>7</v>
      </c>
      <c r="C126" s="6">
        <v>1214</v>
      </c>
      <c r="D126" s="6">
        <v>1175</v>
      </c>
      <c r="E126" s="7">
        <v>39</v>
      </c>
      <c r="F126" s="6">
        <v>599.55063829787196</v>
      </c>
      <c r="G126" s="6">
        <v>33.112061591103497</v>
      </c>
      <c r="H126" s="24">
        <v>0.87</v>
      </c>
      <c r="I126" s="8">
        <v>0.78723404255319196</v>
      </c>
      <c r="J126" s="19">
        <f>WEEKDAY(DaneCC[[#This Row],[Data]], 2)</f>
        <v>2</v>
      </c>
      <c r="K126" s="19" t="str">
        <f>TEXT(DaneCC[[#This Row],[Data]], "dddd")</f>
        <v>wtorek</v>
      </c>
      <c r="L126" s="19" t="str">
        <f>TEXT(DaneCC[[#This Row],[Data]], "mmmm")</f>
        <v>maj</v>
      </c>
      <c r="M126" s="28">
        <f>Parametry!$B$1</f>
        <v>0.85</v>
      </c>
      <c r="N126" s="28">
        <f>Parametry!$B$2</f>
        <v>0.8</v>
      </c>
      <c r="O126" s="19">
        <f>DaneCC[[#This Row],[Połączenia przychodzące]] * DaneCC[[#This Row],[Czas obsługi]]</f>
        <v>727854.47489361651</v>
      </c>
    </row>
    <row r="127" spans="1:15" x14ac:dyDescent="0.25">
      <c r="A127" s="5" t="s">
        <v>133</v>
      </c>
      <c r="B127" s="1" t="s">
        <v>7</v>
      </c>
      <c r="C127" s="6">
        <v>1114</v>
      </c>
      <c r="D127" s="6">
        <v>1094</v>
      </c>
      <c r="E127" s="7">
        <v>20</v>
      </c>
      <c r="F127" s="6">
        <v>570.88391224862903</v>
      </c>
      <c r="G127" s="6">
        <v>25.1495844875346</v>
      </c>
      <c r="H127" s="24">
        <v>0.83000000000000007</v>
      </c>
      <c r="I127" s="8">
        <v>0.84552102376599603</v>
      </c>
      <c r="J127" s="19">
        <f>WEEKDAY(DaneCC[[#This Row],[Data]], 2)</f>
        <v>3</v>
      </c>
      <c r="K127" s="19" t="str">
        <f>TEXT(DaneCC[[#This Row],[Data]], "dddd")</f>
        <v>środa</v>
      </c>
      <c r="L127" s="19" t="str">
        <f>TEXT(DaneCC[[#This Row],[Data]], "mmmm")</f>
        <v>maj</v>
      </c>
      <c r="M127" s="28">
        <f>Parametry!$B$1</f>
        <v>0.85</v>
      </c>
      <c r="N127" s="28">
        <f>Parametry!$B$2</f>
        <v>0.8</v>
      </c>
      <c r="O127" s="19">
        <f>DaneCC[[#This Row],[Połączenia przychodzące]] * DaneCC[[#This Row],[Czas obsługi]]</f>
        <v>635964.67824497272</v>
      </c>
    </row>
    <row r="128" spans="1:15" x14ac:dyDescent="0.25">
      <c r="A128" s="5" t="s">
        <v>134</v>
      </c>
      <c r="B128" s="1" t="s">
        <v>7</v>
      </c>
      <c r="C128" s="6">
        <v>1195</v>
      </c>
      <c r="D128" s="6">
        <v>1167</v>
      </c>
      <c r="E128" s="7">
        <v>28</v>
      </c>
      <c r="F128" s="6">
        <v>603.31276778063398</v>
      </c>
      <c r="G128" s="6">
        <v>24.8584987057808</v>
      </c>
      <c r="H128" s="24">
        <v>0.85000000000000009</v>
      </c>
      <c r="I128" s="8">
        <v>0.83976006855184204</v>
      </c>
      <c r="J128" s="19">
        <f>WEEKDAY(DaneCC[[#This Row],[Data]], 2)</f>
        <v>4</v>
      </c>
      <c r="K128" s="19" t="str">
        <f>TEXT(DaneCC[[#This Row],[Data]], "dddd")</f>
        <v>czwartek</v>
      </c>
      <c r="L128" s="19" t="str">
        <f>TEXT(DaneCC[[#This Row],[Data]], "mmmm")</f>
        <v>maj</v>
      </c>
      <c r="M128" s="28">
        <f>Parametry!$B$1</f>
        <v>0.85</v>
      </c>
      <c r="N128" s="28">
        <f>Parametry!$B$2</f>
        <v>0.8</v>
      </c>
      <c r="O128" s="19">
        <f>DaneCC[[#This Row],[Połączenia przychodzące]] * DaneCC[[#This Row],[Czas obsługi]]</f>
        <v>720958.75749785756</v>
      </c>
    </row>
    <row r="129" spans="1:15" x14ac:dyDescent="0.25">
      <c r="A129" s="5" t="s">
        <v>135</v>
      </c>
      <c r="B129" s="1" t="s">
        <v>7</v>
      </c>
      <c r="C129" s="6">
        <v>1170</v>
      </c>
      <c r="D129" s="6">
        <v>1114</v>
      </c>
      <c r="E129" s="7">
        <v>56</v>
      </c>
      <c r="F129" s="6">
        <v>584.87432675044897</v>
      </c>
      <c r="G129" s="6">
        <v>34.827461607949402</v>
      </c>
      <c r="H129" s="24">
        <v>0.84000000000000008</v>
      </c>
      <c r="I129" s="8">
        <v>0.71633752244165205</v>
      </c>
      <c r="J129" s="19">
        <f>WEEKDAY(DaneCC[[#This Row],[Data]], 2)</f>
        <v>5</v>
      </c>
      <c r="K129" s="19" t="str">
        <f>TEXT(DaneCC[[#This Row],[Data]], "dddd")</f>
        <v>piątek</v>
      </c>
      <c r="L129" s="19" t="str">
        <f>TEXT(DaneCC[[#This Row],[Data]], "mmmm")</f>
        <v>maj</v>
      </c>
      <c r="M129" s="28">
        <f>Parametry!$B$1</f>
        <v>0.85</v>
      </c>
      <c r="N129" s="28">
        <f>Parametry!$B$2</f>
        <v>0.8</v>
      </c>
      <c r="O129" s="19">
        <f>DaneCC[[#This Row],[Połączenia przychodzące]] * DaneCC[[#This Row],[Czas obsługi]]</f>
        <v>684302.96229802526</v>
      </c>
    </row>
    <row r="130" spans="1:15" x14ac:dyDescent="0.25">
      <c r="A130" s="5" t="s">
        <v>136</v>
      </c>
      <c r="B130" s="1" t="s">
        <v>7</v>
      </c>
      <c r="C130" s="6">
        <v>171</v>
      </c>
      <c r="D130" s="6">
        <v>157</v>
      </c>
      <c r="E130" s="7">
        <v>14</v>
      </c>
      <c r="F130" s="6">
        <v>380.69426751592403</v>
      </c>
      <c r="G130" s="6">
        <v>53.748387096774202</v>
      </c>
      <c r="H130" s="24">
        <v>0.83000000000000007</v>
      </c>
      <c r="I130" s="8">
        <v>0.68152866242038201</v>
      </c>
      <c r="J130" s="19">
        <f>WEEKDAY(DaneCC[[#This Row],[Data]], 2)</f>
        <v>6</v>
      </c>
      <c r="K130" s="19" t="str">
        <f>TEXT(DaneCC[[#This Row],[Data]], "dddd")</f>
        <v>sobota</v>
      </c>
      <c r="L130" s="19" t="str">
        <f>TEXT(DaneCC[[#This Row],[Data]], "mmmm")</f>
        <v>maj</v>
      </c>
      <c r="M130" s="28">
        <f>Parametry!$B$1</f>
        <v>0.85</v>
      </c>
      <c r="N130" s="28">
        <f>Parametry!$B$2</f>
        <v>0.8</v>
      </c>
      <c r="O130" s="19">
        <f>DaneCC[[#This Row],[Połączenia przychodzące]] * DaneCC[[#This Row],[Czas obsługi]]</f>
        <v>65098.71974522301</v>
      </c>
    </row>
    <row r="131" spans="1:15" x14ac:dyDescent="0.25">
      <c r="A131" s="5" t="s">
        <v>137</v>
      </c>
      <c r="B131" s="1" t="s">
        <v>7</v>
      </c>
      <c r="C131" s="6">
        <v>95</v>
      </c>
      <c r="D131" s="6">
        <v>86</v>
      </c>
      <c r="E131" s="7">
        <v>9</v>
      </c>
      <c r="F131" s="6">
        <v>422.90697674418601</v>
      </c>
      <c r="G131" s="6">
        <v>42.047058823529397</v>
      </c>
      <c r="H131" s="24">
        <v>0.83000000000000007</v>
      </c>
      <c r="I131" s="8">
        <v>0.84883720930232598</v>
      </c>
      <c r="J131" s="19">
        <f>WEEKDAY(DaneCC[[#This Row],[Data]], 2)</f>
        <v>7</v>
      </c>
      <c r="K131" s="19" t="str">
        <f>TEXT(DaneCC[[#This Row],[Data]], "dddd")</f>
        <v>niedziela</v>
      </c>
      <c r="L131" s="19" t="str">
        <f>TEXT(DaneCC[[#This Row],[Data]], "mmmm")</f>
        <v>maj</v>
      </c>
      <c r="M131" s="28">
        <f>Parametry!$B$1</f>
        <v>0.85</v>
      </c>
      <c r="N131" s="28">
        <f>Parametry!$B$2</f>
        <v>0.8</v>
      </c>
      <c r="O131" s="19">
        <f>DaneCC[[#This Row],[Połączenia przychodzące]] * DaneCC[[#This Row],[Czas obsługi]]</f>
        <v>40176.162790697672</v>
      </c>
    </row>
    <row r="132" spans="1:15" x14ac:dyDescent="0.25">
      <c r="A132" s="5" t="s">
        <v>138</v>
      </c>
      <c r="B132" s="1" t="s">
        <v>7</v>
      </c>
      <c r="C132" s="6">
        <v>1240</v>
      </c>
      <c r="D132" s="6">
        <v>1141</v>
      </c>
      <c r="E132" s="7">
        <v>99</v>
      </c>
      <c r="F132" s="6">
        <v>558.18930762489003</v>
      </c>
      <c r="G132" s="6">
        <v>70.396475770925093</v>
      </c>
      <c r="H132" s="24">
        <v>0.83000000000000007</v>
      </c>
      <c r="I132" s="8">
        <v>0.621384750219106</v>
      </c>
      <c r="J132" s="19">
        <f>WEEKDAY(DaneCC[[#This Row],[Data]], 2)</f>
        <v>1</v>
      </c>
      <c r="K132" s="19" t="str">
        <f>TEXT(DaneCC[[#This Row],[Data]], "dddd")</f>
        <v>poniedziałek</v>
      </c>
      <c r="L132" s="19" t="str">
        <f>TEXT(DaneCC[[#This Row],[Data]], "mmmm")</f>
        <v>maj</v>
      </c>
      <c r="M132" s="28">
        <f>Parametry!$B$1</f>
        <v>0.85</v>
      </c>
      <c r="N132" s="28">
        <f>Parametry!$B$2</f>
        <v>0.8</v>
      </c>
      <c r="O132" s="19">
        <f>DaneCC[[#This Row],[Połączenia przychodzące]] * DaneCC[[#This Row],[Czas obsługi]]</f>
        <v>692154.74145486369</v>
      </c>
    </row>
    <row r="133" spans="1:15" x14ac:dyDescent="0.25">
      <c r="A133" s="5" t="s">
        <v>139</v>
      </c>
      <c r="B133" s="1" t="s">
        <v>7</v>
      </c>
      <c r="C133" s="6">
        <v>1116</v>
      </c>
      <c r="D133" s="6">
        <v>1075</v>
      </c>
      <c r="E133" s="7">
        <v>41</v>
      </c>
      <c r="F133" s="6">
        <v>587.982325581395</v>
      </c>
      <c r="G133" s="6">
        <v>31.932710280373801</v>
      </c>
      <c r="H133" s="24">
        <v>0.82000000000000006</v>
      </c>
      <c r="I133" s="8">
        <v>0.75534883720930202</v>
      </c>
      <c r="J133" s="19">
        <f>WEEKDAY(DaneCC[[#This Row],[Data]], 2)</f>
        <v>2</v>
      </c>
      <c r="K133" s="19" t="str">
        <f>TEXT(DaneCC[[#This Row],[Data]], "dddd")</f>
        <v>wtorek</v>
      </c>
      <c r="L133" s="19" t="str">
        <f>TEXT(DaneCC[[#This Row],[Data]], "mmmm")</f>
        <v>maj</v>
      </c>
      <c r="M133" s="28">
        <f>Parametry!$B$1</f>
        <v>0.85</v>
      </c>
      <c r="N133" s="28">
        <f>Parametry!$B$2</f>
        <v>0.8</v>
      </c>
      <c r="O133" s="19">
        <f>DaneCC[[#This Row],[Połączenia przychodzące]] * DaneCC[[#This Row],[Czas obsługi]]</f>
        <v>656188.27534883679</v>
      </c>
    </row>
    <row r="134" spans="1:15" x14ac:dyDescent="0.25">
      <c r="A134" s="5" t="s">
        <v>140</v>
      </c>
      <c r="B134" s="1" t="s">
        <v>7</v>
      </c>
      <c r="C134" s="6">
        <v>1019</v>
      </c>
      <c r="D134" s="6">
        <v>996</v>
      </c>
      <c r="E134" s="7">
        <v>23</v>
      </c>
      <c r="F134" s="6">
        <v>554.35843373494004</v>
      </c>
      <c r="G134" s="6">
        <v>23.4196157735086</v>
      </c>
      <c r="H134" s="24">
        <v>0.87</v>
      </c>
      <c r="I134" s="8">
        <v>0.865461847389558</v>
      </c>
      <c r="J134" s="19">
        <f>WEEKDAY(DaneCC[[#This Row],[Data]], 2)</f>
        <v>3</v>
      </c>
      <c r="K134" s="19" t="str">
        <f>TEXT(DaneCC[[#This Row],[Data]], "dddd")</f>
        <v>środa</v>
      </c>
      <c r="L134" s="19" t="str">
        <f>TEXT(DaneCC[[#This Row],[Data]], "mmmm")</f>
        <v>maj</v>
      </c>
      <c r="M134" s="28">
        <f>Parametry!$B$1</f>
        <v>0.85</v>
      </c>
      <c r="N134" s="28">
        <f>Parametry!$B$2</f>
        <v>0.8</v>
      </c>
      <c r="O134" s="19">
        <f>DaneCC[[#This Row],[Połączenia przychodzące]] * DaneCC[[#This Row],[Czas obsługi]]</f>
        <v>564891.24397590384</v>
      </c>
    </row>
    <row r="135" spans="1:15" x14ac:dyDescent="0.25">
      <c r="A135" s="5" t="s">
        <v>141</v>
      </c>
      <c r="B135" s="1" t="s">
        <v>7</v>
      </c>
      <c r="C135" s="6">
        <v>944</v>
      </c>
      <c r="D135" s="6">
        <v>924</v>
      </c>
      <c r="E135" s="7">
        <v>20</v>
      </c>
      <c r="F135" s="6">
        <v>548.38203463203502</v>
      </c>
      <c r="G135" s="6">
        <v>23.249455337690598</v>
      </c>
      <c r="H135" s="24">
        <v>0.87</v>
      </c>
      <c r="I135" s="8">
        <v>0.87121212121212099</v>
      </c>
      <c r="J135" s="19">
        <f>WEEKDAY(DaneCC[[#This Row],[Data]], 2)</f>
        <v>4</v>
      </c>
      <c r="K135" s="19" t="str">
        <f>TEXT(DaneCC[[#This Row],[Data]], "dddd")</f>
        <v>czwartek</v>
      </c>
      <c r="L135" s="19" t="str">
        <f>TEXT(DaneCC[[#This Row],[Data]], "mmmm")</f>
        <v>maj</v>
      </c>
      <c r="M135" s="28">
        <f>Parametry!$B$1</f>
        <v>0.85</v>
      </c>
      <c r="N135" s="28">
        <f>Parametry!$B$2</f>
        <v>0.8</v>
      </c>
      <c r="O135" s="19">
        <f>DaneCC[[#This Row],[Połączenia przychodzące]] * DaneCC[[#This Row],[Czas obsługi]]</f>
        <v>517672.64069264103</v>
      </c>
    </row>
    <row r="136" spans="1:15" x14ac:dyDescent="0.25">
      <c r="A136" s="5" t="s">
        <v>142</v>
      </c>
      <c r="B136" s="1" t="s">
        <v>7</v>
      </c>
      <c r="C136" s="6">
        <v>968</v>
      </c>
      <c r="D136" s="6">
        <v>925</v>
      </c>
      <c r="E136" s="7">
        <v>43</v>
      </c>
      <c r="F136" s="6">
        <v>565.504864864865</v>
      </c>
      <c r="G136" s="6">
        <v>39.962922573609603</v>
      </c>
      <c r="H136" s="24">
        <v>0.86</v>
      </c>
      <c r="I136" s="8">
        <v>0.74378378378378396</v>
      </c>
      <c r="J136" s="19">
        <f>WEEKDAY(DaneCC[[#This Row],[Data]], 2)</f>
        <v>5</v>
      </c>
      <c r="K136" s="19" t="str">
        <f>TEXT(DaneCC[[#This Row],[Data]], "dddd")</f>
        <v>piątek</v>
      </c>
      <c r="L136" s="19" t="str">
        <f>TEXT(DaneCC[[#This Row],[Data]], "mmmm")</f>
        <v>maj</v>
      </c>
      <c r="M136" s="28">
        <f>Parametry!$B$1</f>
        <v>0.85</v>
      </c>
      <c r="N136" s="28">
        <f>Parametry!$B$2</f>
        <v>0.8</v>
      </c>
      <c r="O136" s="19">
        <f>DaneCC[[#This Row],[Połączenia przychodzące]] * DaneCC[[#This Row],[Czas obsługi]]</f>
        <v>547408.70918918937</v>
      </c>
    </row>
    <row r="137" spans="1:15" x14ac:dyDescent="0.25">
      <c r="A137" s="5" t="s">
        <v>143</v>
      </c>
      <c r="B137" s="1" t="s">
        <v>7</v>
      </c>
      <c r="C137" s="6">
        <v>162</v>
      </c>
      <c r="D137" s="6">
        <v>137</v>
      </c>
      <c r="E137" s="7">
        <v>25</v>
      </c>
      <c r="F137" s="6">
        <v>546.13868613138698</v>
      </c>
      <c r="G137" s="6">
        <v>83.233576642335805</v>
      </c>
      <c r="H137" s="24">
        <v>0.83000000000000007</v>
      </c>
      <c r="I137" s="8">
        <v>0.59854014598540195</v>
      </c>
      <c r="J137" s="19">
        <f>WEEKDAY(DaneCC[[#This Row],[Data]], 2)</f>
        <v>6</v>
      </c>
      <c r="K137" s="19" t="str">
        <f>TEXT(DaneCC[[#This Row],[Data]], "dddd")</f>
        <v>sobota</v>
      </c>
      <c r="L137" s="19" t="str">
        <f>TEXT(DaneCC[[#This Row],[Data]], "mmmm")</f>
        <v>maj</v>
      </c>
      <c r="M137" s="28">
        <f>Parametry!$B$1</f>
        <v>0.85</v>
      </c>
      <c r="N137" s="28">
        <f>Parametry!$B$2</f>
        <v>0.8</v>
      </c>
      <c r="O137" s="19">
        <f>DaneCC[[#This Row],[Połączenia przychodzące]] * DaneCC[[#This Row],[Czas obsługi]]</f>
        <v>88474.467153284684</v>
      </c>
    </row>
    <row r="138" spans="1:15" x14ac:dyDescent="0.25">
      <c r="A138" s="5" t="s">
        <v>144</v>
      </c>
      <c r="B138" s="1" t="s">
        <v>7</v>
      </c>
      <c r="C138" s="6">
        <v>130</v>
      </c>
      <c r="D138" s="6">
        <v>112</v>
      </c>
      <c r="E138" s="7">
        <v>18</v>
      </c>
      <c r="F138" s="6">
        <v>347.482142857143</v>
      </c>
      <c r="G138" s="6">
        <v>118.53571428571399</v>
      </c>
      <c r="H138" s="24">
        <v>0.89</v>
      </c>
      <c r="I138" s="8">
        <v>0.59821428571428603</v>
      </c>
      <c r="J138" s="19">
        <f>WEEKDAY(DaneCC[[#This Row],[Data]], 2)</f>
        <v>7</v>
      </c>
      <c r="K138" s="19" t="str">
        <f>TEXT(DaneCC[[#This Row],[Data]], "dddd")</f>
        <v>niedziela</v>
      </c>
      <c r="L138" s="19" t="str">
        <f>TEXT(DaneCC[[#This Row],[Data]], "mmmm")</f>
        <v>maj</v>
      </c>
      <c r="M138" s="28">
        <f>Parametry!$B$1</f>
        <v>0.85</v>
      </c>
      <c r="N138" s="28">
        <f>Parametry!$B$2</f>
        <v>0.8</v>
      </c>
      <c r="O138" s="19">
        <f>DaneCC[[#This Row],[Połączenia przychodzące]] * DaneCC[[#This Row],[Czas obsługi]]</f>
        <v>45172.678571428587</v>
      </c>
    </row>
    <row r="139" spans="1:15" x14ac:dyDescent="0.25">
      <c r="A139" s="1"/>
      <c r="B139" s="1"/>
      <c r="C139" s="1"/>
      <c r="D139" s="1"/>
      <c r="E139" s="1"/>
      <c r="F139" s="2">
        <v>544.34911242603596</v>
      </c>
      <c r="G139" s="2">
        <v>20.758654797230498</v>
      </c>
      <c r="H139" s="24">
        <v>0.89</v>
      </c>
      <c r="I139" s="3">
        <v>0.866863905325444</v>
      </c>
      <c r="J139" s="19">
        <f>WEEKDAY(DaneCC[[#This Row],[Data]], 2)</f>
        <v>6</v>
      </c>
      <c r="K139" s="19" t="str">
        <f>TEXT(DaneCC[[#This Row],[Data]], "dddd")</f>
        <v>sobota</v>
      </c>
      <c r="L139" s="19" t="str">
        <f>TEXT(DaneCC[[#This Row],[Data]], "mmmm")</f>
        <v>styczeń</v>
      </c>
      <c r="M139" s="28">
        <f>Parametry!$B$1</f>
        <v>0.85</v>
      </c>
      <c r="N139" s="28">
        <f>Parametry!$B$2</f>
        <v>0.8</v>
      </c>
      <c r="O139" s="19">
        <f>DaneCC[[#This Row],[Połączenia przychodzące]] * DaneCC[[#This Row],[Czas obsługi]]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80444-F9D8-4AF3-8390-C8B78F98BB63}">
  <dimension ref="A1:B2"/>
  <sheetViews>
    <sheetView workbookViewId="0">
      <selection activeCell="G22" sqref="G22"/>
    </sheetView>
  </sheetViews>
  <sheetFormatPr defaultRowHeight="15" x14ac:dyDescent="0.25"/>
  <sheetData>
    <row r="1" spans="1:2" x14ac:dyDescent="0.25">
      <c r="A1" t="s">
        <v>184</v>
      </c>
      <c r="B1" s="18">
        <v>0.85</v>
      </c>
    </row>
    <row r="2" spans="1:2" x14ac:dyDescent="0.25">
      <c r="A2" t="s">
        <v>185</v>
      </c>
      <c r="B2" s="18">
        <v>0.8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90367-B2EC-4C66-AEF0-EE237DCD7113}">
  <dimension ref="A1:I51"/>
  <sheetViews>
    <sheetView topLeftCell="A13" workbookViewId="0">
      <selection activeCell="C36" sqref="C36"/>
    </sheetView>
  </sheetViews>
  <sheetFormatPr defaultRowHeight="15" x14ac:dyDescent="0.25"/>
  <cols>
    <col min="1" max="1" width="17.7109375" bestFit="1" customWidth="1"/>
    <col min="2" max="2" width="12.7109375" bestFit="1" customWidth="1"/>
    <col min="3" max="3" width="12.5703125" bestFit="1" customWidth="1"/>
    <col min="4" max="4" width="16.140625" bestFit="1" customWidth="1"/>
    <col min="5" max="5" width="16" bestFit="1" customWidth="1"/>
    <col min="6" max="6" width="12" bestFit="1" customWidth="1"/>
    <col min="7" max="7" width="14.28515625" bestFit="1" customWidth="1"/>
    <col min="8" max="8" width="25.5703125" bestFit="1" customWidth="1"/>
    <col min="9" max="9" width="12.7109375" bestFit="1" customWidth="1"/>
    <col min="10" max="10" width="12.5703125" bestFit="1" customWidth="1"/>
    <col min="11" max="11" width="16.140625" bestFit="1" customWidth="1"/>
    <col min="12" max="12" width="16" bestFit="1" customWidth="1"/>
  </cols>
  <sheetData>
    <row r="1" spans="1:9" x14ac:dyDescent="0.25">
      <c r="A1" s="20" t="s">
        <v>189</v>
      </c>
      <c r="B1" t="s">
        <v>199</v>
      </c>
      <c r="C1" t="s">
        <v>206</v>
      </c>
      <c r="D1" t="s">
        <v>216</v>
      </c>
      <c r="E1" t="s">
        <v>217</v>
      </c>
    </row>
    <row r="2" spans="1:9" x14ac:dyDescent="0.25">
      <c r="A2" s="21" t="s">
        <v>191</v>
      </c>
      <c r="B2" s="23">
        <v>0.84526315789473683</v>
      </c>
      <c r="C2" s="23">
        <v>0.7631147437852015</v>
      </c>
      <c r="D2" s="18">
        <v>0.84999999999999976</v>
      </c>
      <c r="E2" s="18">
        <v>0.80000000000000027</v>
      </c>
      <c r="H2" t="s">
        <v>202</v>
      </c>
      <c r="I2">
        <f>CORREL(DaneCC[Połączenia przychodzące], DaneCC[SLA])</f>
        <v>0.32430970257626451</v>
      </c>
    </row>
    <row r="3" spans="1:9" x14ac:dyDescent="0.25">
      <c r="A3" s="21" t="s">
        <v>192</v>
      </c>
      <c r="B3" s="23">
        <v>0.84789473684210526</v>
      </c>
      <c r="C3" s="23">
        <v>0.76973206049044052</v>
      </c>
      <c r="D3" s="18">
        <v>0.84999999999999976</v>
      </c>
      <c r="E3" s="18">
        <v>0.80000000000000027</v>
      </c>
      <c r="H3" t="s">
        <v>203</v>
      </c>
      <c r="I3">
        <f>CORREL(DaneCC[Czas obsługi], DaneCC[SLA])</f>
        <v>-8.0184172871426984E-2</v>
      </c>
    </row>
    <row r="4" spans="1:9" x14ac:dyDescent="0.25">
      <c r="A4" s="21" t="s">
        <v>193</v>
      </c>
      <c r="B4" s="23">
        <v>0.85157894736842121</v>
      </c>
      <c r="C4" s="23">
        <v>0.77883093776814993</v>
      </c>
      <c r="D4" s="18">
        <v>0.84999999999999976</v>
      </c>
      <c r="E4" s="18">
        <v>0.80000000000000027</v>
      </c>
      <c r="H4" t="s">
        <v>204</v>
      </c>
      <c r="I4">
        <f>CORREL(DaneCC[Połączenia przychodzące], DaneCC[Czas obsługi])</f>
        <v>0.50481445760135224</v>
      </c>
    </row>
    <row r="5" spans="1:9" x14ac:dyDescent="0.25">
      <c r="A5" s="21" t="s">
        <v>194</v>
      </c>
      <c r="B5" s="23">
        <v>0.8500000000000002</v>
      </c>
      <c r="C5" s="23">
        <v>0.77888913031065221</v>
      </c>
      <c r="D5" s="18">
        <v>0.84999999999999987</v>
      </c>
      <c r="E5" s="18">
        <v>0.80000000000000016</v>
      </c>
    </row>
    <row r="6" spans="1:9" x14ac:dyDescent="0.25">
      <c r="A6" s="21" t="s">
        <v>195</v>
      </c>
      <c r="B6" s="23">
        <v>0.85800000000000021</v>
      </c>
      <c r="C6" s="23">
        <v>0.80044001980619939</v>
      </c>
      <c r="D6" s="18">
        <v>0.84999999999999987</v>
      </c>
      <c r="E6" s="18">
        <v>0.80000000000000016</v>
      </c>
    </row>
    <row r="7" spans="1:9" x14ac:dyDescent="0.25">
      <c r="A7" s="21" t="s">
        <v>196</v>
      </c>
      <c r="B7" s="23">
        <v>0.84809523809523824</v>
      </c>
      <c r="C7" s="23">
        <v>0.59230722171172534</v>
      </c>
      <c r="D7" s="18">
        <v>0.84999999999999987</v>
      </c>
      <c r="E7" s="18">
        <v>0.80000000000000016</v>
      </c>
    </row>
    <row r="8" spans="1:9" x14ac:dyDescent="0.25">
      <c r="A8" s="21" t="s">
        <v>197</v>
      </c>
      <c r="B8" s="23">
        <v>0.85300000000000009</v>
      </c>
      <c r="C8" s="23">
        <v>0.63252491611682016</v>
      </c>
      <c r="D8" s="18">
        <v>0.84999999999999987</v>
      </c>
      <c r="E8" s="18">
        <v>0.80000000000000016</v>
      </c>
    </row>
    <row r="9" spans="1:9" x14ac:dyDescent="0.25">
      <c r="A9" s="21" t="s">
        <v>190</v>
      </c>
      <c r="B9" s="23">
        <v>0.8505797101449275</v>
      </c>
      <c r="C9" s="23">
        <v>0.72896673970617154</v>
      </c>
      <c r="D9" s="18">
        <v>0.84999999999999787</v>
      </c>
      <c r="E9" s="18">
        <v>0.79999999999999805</v>
      </c>
    </row>
    <row r="12" spans="1:9" x14ac:dyDescent="0.25">
      <c r="A12" s="20" t="s">
        <v>189</v>
      </c>
      <c r="B12" t="s">
        <v>200</v>
      </c>
      <c r="C12" t="s">
        <v>218</v>
      </c>
    </row>
    <row r="13" spans="1:9" x14ac:dyDescent="0.25">
      <c r="A13" s="21" t="s">
        <v>191</v>
      </c>
      <c r="B13" s="27">
        <v>1140.8421052631579</v>
      </c>
      <c r="C13" s="22">
        <v>531.92731950390919</v>
      </c>
    </row>
    <row r="14" spans="1:9" x14ac:dyDescent="0.25">
      <c r="A14" s="21" t="s">
        <v>192</v>
      </c>
      <c r="B14" s="27">
        <v>1043.6315789473683</v>
      </c>
      <c r="C14" s="22">
        <v>552.40355073853664</v>
      </c>
    </row>
    <row r="15" spans="1:9" x14ac:dyDescent="0.25">
      <c r="A15" s="21" t="s">
        <v>193</v>
      </c>
      <c r="B15" s="27">
        <v>1125.7894736842106</v>
      </c>
      <c r="C15" s="22">
        <v>550.80046547208872</v>
      </c>
    </row>
    <row r="16" spans="1:9" x14ac:dyDescent="0.25">
      <c r="A16" s="21" t="s">
        <v>194</v>
      </c>
      <c r="B16" s="27">
        <v>1006.4</v>
      </c>
      <c r="C16" s="22">
        <v>551.72080711025967</v>
      </c>
    </row>
    <row r="17" spans="1:7" x14ac:dyDescent="0.25">
      <c r="A17" s="21" t="s">
        <v>195</v>
      </c>
      <c r="B17" s="27">
        <v>946</v>
      </c>
      <c r="C17" s="22">
        <v>546.52315471286852</v>
      </c>
    </row>
    <row r="18" spans="1:7" x14ac:dyDescent="0.25">
      <c r="A18" s="21" t="s">
        <v>196</v>
      </c>
      <c r="B18" s="27">
        <v>169.75</v>
      </c>
      <c r="C18" s="22">
        <v>520.97100131842876</v>
      </c>
    </row>
    <row r="19" spans="1:7" x14ac:dyDescent="0.25">
      <c r="A19" s="21" t="s">
        <v>197</v>
      </c>
      <c r="B19" s="27">
        <v>126.85</v>
      </c>
      <c r="C19" s="22">
        <v>456.26676454085253</v>
      </c>
    </row>
    <row r="20" spans="1:7" x14ac:dyDescent="0.25">
      <c r="A20" s="21" t="s">
        <v>190</v>
      </c>
      <c r="B20" s="27">
        <v>787.40875912408762</v>
      </c>
      <c r="C20" s="22">
        <v>529.69638357639667</v>
      </c>
    </row>
    <row r="23" spans="1:7" x14ac:dyDescent="0.25">
      <c r="A23" s="20" t="s">
        <v>198</v>
      </c>
      <c r="B23" s="20" t="s">
        <v>207</v>
      </c>
    </row>
    <row r="24" spans="1:7" x14ac:dyDescent="0.25">
      <c r="A24" s="20" t="s">
        <v>189</v>
      </c>
      <c r="B24" t="s">
        <v>208</v>
      </c>
      <c r="C24" t="s">
        <v>209</v>
      </c>
      <c r="D24" t="s">
        <v>210</v>
      </c>
      <c r="E24" t="s">
        <v>211</v>
      </c>
      <c r="F24" t="s">
        <v>212</v>
      </c>
      <c r="G24" t="s">
        <v>190</v>
      </c>
    </row>
    <row r="25" spans="1:7" x14ac:dyDescent="0.25">
      <c r="A25" s="21" t="s">
        <v>191</v>
      </c>
      <c r="B25">
        <v>1342</v>
      </c>
      <c r="C25">
        <v>1103</v>
      </c>
      <c r="D25">
        <v>1145.5999999999999</v>
      </c>
      <c r="E25">
        <v>879.5</v>
      </c>
      <c r="F25">
        <v>1325</v>
      </c>
      <c r="G25">
        <v>1140.8421052631579</v>
      </c>
    </row>
    <row r="26" spans="1:7" x14ac:dyDescent="0.25">
      <c r="A26" s="21" t="s">
        <v>192</v>
      </c>
      <c r="B26">
        <v>882</v>
      </c>
      <c r="C26">
        <v>996</v>
      </c>
      <c r="D26">
        <v>1151.4000000000001</v>
      </c>
      <c r="E26">
        <v>1057.5</v>
      </c>
      <c r="F26">
        <v>1165</v>
      </c>
      <c r="G26">
        <v>1043.6315789473683</v>
      </c>
    </row>
    <row r="27" spans="1:7" x14ac:dyDescent="0.25">
      <c r="A27" s="21" t="s">
        <v>193</v>
      </c>
      <c r="B27">
        <v>1222.75</v>
      </c>
      <c r="C27">
        <v>1046.5</v>
      </c>
      <c r="D27">
        <v>1245.75</v>
      </c>
      <c r="E27">
        <v>1039.4000000000001</v>
      </c>
      <c r="F27">
        <v>1066.5</v>
      </c>
      <c r="G27">
        <v>1125.7894736842106</v>
      </c>
    </row>
    <row r="28" spans="1:7" x14ac:dyDescent="0.25">
      <c r="A28" s="21" t="s">
        <v>194</v>
      </c>
      <c r="B28">
        <v>906.4</v>
      </c>
      <c r="C28">
        <v>973</v>
      </c>
      <c r="D28">
        <v>1096.75</v>
      </c>
      <c r="E28">
        <v>1035.5999999999999</v>
      </c>
      <c r="F28">
        <v>1069.5</v>
      </c>
      <c r="G28">
        <v>1006.4</v>
      </c>
    </row>
    <row r="29" spans="1:7" x14ac:dyDescent="0.25">
      <c r="A29" s="21" t="s">
        <v>195</v>
      </c>
      <c r="B29">
        <v>1112.2</v>
      </c>
      <c r="C29">
        <v>931.5</v>
      </c>
      <c r="D29">
        <v>998.75</v>
      </c>
      <c r="E29">
        <v>843.75</v>
      </c>
      <c r="F29">
        <v>754.33333333333337</v>
      </c>
      <c r="G29">
        <v>946</v>
      </c>
    </row>
    <row r="30" spans="1:7" x14ac:dyDescent="0.25">
      <c r="A30" s="21" t="s">
        <v>196</v>
      </c>
      <c r="B30">
        <v>214.6</v>
      </c>
      <c r="C30">
        <v>165.25</v>
      </c>
      <c r="D30">
        <v>165.75</v>
      </c>
      <c r="E30">
        <v>141.75</v>
      </c>
      <c r="F30">
        <v>143.66666666666666</v>
      </c>
      <c r="G30">
        <v>169.75</v>
      </c>
    </row>
    <row r="31" spans="1:7" x14ac:dyDescent="0.25">
      <c r="A31" s="21" t="s">
        <v>197</v>
      </c>
      <c r="B31">
        <v>173.5</v>
      </c>
      <c r="C31">
        <v>126.75</v>
      </c>
      <c r="D31">
        <v>122.6</v>
      </c>
      <c r="E31">
        <v>103.25</v>
      </c>
      <c r="F31">
        <v>103.33333333333333</v>
      </c>
      <c r="G31">
        <v>126.85</v>
      </c>
    </row>
    <row r="34" spans="1:3" x14ac:dyDescent="0.25">
      <c r="A34" s="20" t="s">
        <v>189</v>
      </c>
      <c r="B34" t="s">
        <v>213</v>
      </c>
      <c r="C34" t="s">
        <v>206</v>
      </c>
    </row>
    <row r="35" spans="1:3" x14ac:dyDescent="0.25">
      <c r="A35" s="21" t="s">
        <v>191</v>
      </c>
      <c r="B35" s="23">
        <v>1.085525089614062</v>
      </c>
      <c r="C35" s="23">
        <v>0.7631147437852015</v>
      </c>
    </row>
    <row r="36" spans="1:3" x14ac:dyDescent="0.25">
      <c r="A36" s="21" t="s">
        <v>192</v>
      </c>
      <c r="B36" s="23">
        <v>0.99302809567988704</v>
      </c>
      <c r="C36" s="23">
        <v>0.76973206049044052</v>
      </c>
    </row>
    <row r="37" spans="1:3" x14ac:dyDescent="0.25">
      <c r="A37" s="21" t="s">
        <v>193</v>
      </c>
      <c r="B37" s="23">
        <v>1.0712023282360577</v>
      </c>
      <c r="C37" s="23">
        <v>0.77883093776814982</v>
      </c>
    </row>
    <row r="38" spans="1:3" x14ac:dyDescent="0.25">
      <c r="A38" s="21" t="s">
        <v>194</v>
      </c>
      <c r="B38" s="23">
        <v>0.95760179708268345</v>
      </c>
      <c r="C38" s="23">
        <v>0.77888913031065221</v>
      </c>
    </row>
    <row r="39" spans="1:3" x14ac:dyDescent="0.25">
      <c r="A39" s="21" t="s">
        <v>195</v>
      </c>
      <c r="B39" s="23">
        <v>0.90013046506381023</v>
      </c>
      <c r="C39" s="23">
        <v>0.80044001980619939</v>
      </c>
    </row>
    <row r="40" spans="1:3" x14ac:dyDescent="0.25">
      <c r="A40" s="21" t="s">
        <v>190</v>
      </c>
      <c r="B40" s="23">
        <v>1</v>
      </c>
      <c r="C40" s="23">
        <v>0.77843773300174324</v>
      </c>
    </row>
    <row r="43" spans="1:3" x14ac:dyDescent="0.25">
      <c r="A43" s="20" t="s">
        <v>189</v>
      </c>
      <c r="B43" t="s">
        <v>215</v>
      </c>
      <c r="C43" t="s">
        <v>206</v>
      </c>
    </row>
    <row r="44" spans="1:3" x14ac:dyDescent="0.25">
      <c r="A44" s="21" t="s">
        <v>191</v>
      </c>
      <c r="B44" s="27">
        <v>3253.6713639077543</v>
      </c>
      <c r="C44" s="27">
        <v>0.7631147437852015</v>
      </c>
    </row>
    <row r="45" spans="1:3" x14ac:dyDescent="0.25">
      <c r="A45" s="21" t="s">
        <v>192</v>
      </c>
      <c r="B45" s="27">
        <v>3068.1713030366182</v>
      </c>
      <c r="C45" s="27">
        <v>0.76973206049044052</v>
      </c>
    </row>
    <row r="46" spans="1:3" x14ac:dyDescent="0.25">
      <c r="A46" s="21" t="s">
        <v>193</v>
      </c>
      <c r="B46" s="27">
        <v>3273.8893025688644</v>
      </c>
      <c r="C46" s="27">
        <v>0.77883093776814993</v>
      </c>
    </row>
    <row r="47" spans="1:3" x14ac:dyDescent="0.25">
      <c r="A47" s="21" t="s">
        <v>194</v>
      </c>
      <c r="B47" s="27">
        <v>3092.3056807140756</v>
      </c>
      <c r="C47" s="27">
        <v>0.77888913031065221</v>
      </c>
    </row>
    <row r="48" spans="1:3" x14ac:dyDescent="0.25">
      <c r="A48" s="21" t="s">
        <v>195</v>
      </c>
      <c r="B48" s="27">
        <v>2899.647309019595</v>
      </c>
      <c r="C48" s="27">
        <v>0.80044001980619939</v>
      </c>
    </row>
    <row r="49" spans="1:3" x14ac:dyDescent="0.25">
      <c r="A49" s="21" t="s">
        <v>196</v>
      </c>
      <c r="B49" s="27">
        <v>499.59945765139025</v>
      </c>
      <c r="C49" s="27">
        <v>0.59230722171172534</v>
      </c>
    </row>
    <row r="50" spans="1:3" x14ac:dyDescent="0.25">
      <c r="A50" s="21" t="s">
        <v>197</v>
      </c>
      <c r="B50" s="27">
        <v>330.45047673375126</v>
      </c>
      <c r="C50" s="27">
        <v>0.63252491611682016</v>
      </c>
    </row>
    <row r="51" spans="1:3" x14ac:dyDescent="0.25">
      <c r="A51" s="21" t="s">
        <v>190</v>
      </c>
      <c r="B51" s="27">
        <v>16417.734893632049</v>
      </c>
      <c r="C51" s="27">
        <v>0.72896673970617154</v>
      </c>
    </row>
  </sheetData>
  <conditionalFormatting sqref="I2:I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25:G3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C35:C39">
    <cfRule type="cellIs" dxfId="3" priority="1" operator="lessThan">
      <formula>0.8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7996F-73F2-4CEC-99F0-80DAB25C72EE}">
  <dimension ref="B1:AL31"/>
  <sheetViews>
    <sheetView zoomScale="40" zoomScaleNormal="40" workbookViewId="0">
      <selection sqref="A1:AQ68"/>
    </sheetView>
  </sheetViews>
  <sheetFormatPr defaultRowHeight="15" x14ac:dyDescent="0.25"/>
  <cols>
    <col min="22" max="22" width="13.42578125" customWidth="1"/>
    <col min="36" max="36" width="10.28515625" customWidth="1"/>
    <col min="37" max="37" width="42.140625" bestFit="1" customWidth="1"/>
  </cols>
  <sheetData>
    <row r="1" spans="2:38" x14ac:dyDescent="0.25">
      <c r="B1" s="18"/>
    </row>
    <row r="2" spans="2:38" x14ac:dyDescent="0.25">
      <c r="B2" s="18"/>
      <c r="AK2" s="29" t="s">
        <v>202</v>
      </c>
      <c r="AL2" s="37">
        <f>CORREL(DaneCC[Połączenia przychodzące], DaneCC[SLA])</f>
        <v>0.32430970257626451</v>
      </c>
    </row>
    <row r="3" spans="2:38" x14ac:dyDescent="0.25">
      <c r="AK3" s="38" t="s">
        <v>220</v>
      </c>
      <c r="AL3" s="33" cm="1">
        <f t="array" ref="AL3">CORREL(_xlfn._xlws.FILTER(DaneCC[Połączenia przychodzące], DaneCC[Nr dnia tygodnia]&lt;6), _xlfn._xlws.FILTER(DaneCC[SLA], DaneCC[Nr dnia tygodnia]&lt;6))</f>
        <v>-0.33254596658555446</v>
      </c>
    </row>
    <row r="4" spans="2:38" x14ac:dyDescent="0.25">
      <c r="AK4" s="38" t="s">
        <v>203</v>
      </c>
      <c r="AL4" s="33">
        <f>CORREL(DaneCC[Czas obsługi], DaneCC[SLA])</f>
        <v>-8.0184172871426984E-2</v>
      </c>
    </row>
    <row r="5" spans="2:38" x14ac:dyDescent="0.25">
      <c r="AK5" s="39" t="s">
        <v>204</v>
      </c>
      <c r="AL5" s="36">
        <f>CORREL(DaneCC[Połączenia przychodzące], DaneCC[Czas obsługi])</f>
        <v>0.50481445760135224</v>
      </c>
    </row>
    <row r="23" spans="16:22" x14ac:dyDescent="0.25">
      <c r="P23" s="40" t="s">
        <v>219</v>
      </c>
      <c r="Q23" s="41"/>
      <c r="R23" s="41"/>
      <c r="S23" s="41"/>
      <c r="T23" s="41"/>
      <c r="U23" s="41"/>
      <c r="V23" s="42"/>
    </row>
    <row r="24" spans="16:22" x14ac:dyDescent="0.25">
      <c r="P24" s="29"/>
      <c r="Q24" s="30" t="s">
        <v>208</v>
      </c>
      <c r="R24" s="30" t="s">
        <v>209</v>
      </c>
      <c r="S24" s="30" t="s">
        <v>210</v>
      </c>
      <c r="T24" s="30" t="s">
        <v>211</v>
      </c>
      <c r="U24" s="30" t="s">
        <v>212</v>
      </c>
      <c r="V24" s="31" t="s">
        <v>190</v>
      </c>
    </row>
    <row r="25" spans="16:22" x14ac:dyDescent="0.25">
      <c r="P25" s="32" t="s">
        <v>191</v>
      </c>
      <c r="Q25">
        <v>1342</v>
      </c>
      <c r="R25">
        <v>1103</v>
      </c>
      <c r="S25">
        <v>1145.5999999999999</v>
      </c>
      <c r="T25">
        <v>879.5</v>
      </c>
      <c r="U25">
        <v>1325</v>
      </c>
      <c r="V25" s="33">
        <v>1140.8421052631579</v>
      </c>
    </row>
    <row r="26" spans="16:22" x14ac:dyDescent="0.25">
      <c r="P26" s="32" t="s">
        <v>192</v>
      </c>
      <c r="Q26">
        <v>882</v>
      </c>
      <c r="R26">
        <v>996</v>
      </c>
      <c r="S26">
        <v>1151.4000000000001</v>
      </c>
      <c r="T26">
        <v>1057.5</v>
      </c>
      <c r="U26">
        <v>1165</v>
      </c>
      <c r="V26" s="33">
        <v>1043.6315789473683</v>
      </c>
    </row>
    <row r="27" spans="16:22" x14ac:dyDescent="0.25">
      <c r="P27" s="32" t="s">
        <v>193</v>
      </c>
      <c r="Q27">
        <v>1222.75</v>
      </c>
      <c r="R27">
        <v>1046.5</v>
      </c>
      <c r="S27">
        <v>1245.75</v>
      </c>
      <c r="T27">
        <v>1039.4000000000001</v>
      </c>
      <c r="U27">
        <v>1066.5</v>
      </c>
      <c r="V27" s="33">
        <v>1125.7894736842106</v>
      </c>
    </row>
    <row r="28" spans="16:22" x14ac:dyDescent="0.25">
      <c r="P28" s="32" t="s">
        <v>194</v>
      </c>
      <c r="Q28">
        <v>906.4</v>
      </c>
      <c r="R28">
        <v>973</v>
      </c>
      <c r="S28">
        <v>1096.75</v>
      </c>
      <c r="T28">
        <v>1035.5999999999999</v>
      </c>
      <c r="U28">
        <v>1069.5</v>
      </c>
      <c r="V28" s="33">
        <v>1006.4</v>
      </c>
    </row>
    <row r="29" spans="16:22" x14ac:dyDescent="0.25">
      <c r="P29" s="32" t="s">
        <v>195</v>
      </c>
      <c r="Q29">
        <v>1112.2</v>
      </c>
      <c r="R29">
        <v>931.5</v>
      </c>
      <c r="S29">
        <v>998.75</v>
      </c>
      <c r="T29">
        <v>843.75</v>
      </c>
      <c r="U29">
        <v>754.33333333333337</v>
      </c>
      <c r="V29" s="33">
        <v>946</v>
      </c>
    </row>
    <row r="30" spans="16:22" x14ac:dyDescent="0.25">
      <c r="P30" s="32" t="s">
        <v>196</v>
      </c>
      <c r="Q30">
        <v>214.6</v>
      </c>
      <c r="R30">
        <v>165.25</v>
      </c>
      <c r="S30">
        <v>165.75</v>
      </c>
      <c r="T30">
        <v>141.75</v>
      </c>
      <c r="U30">
        <v>143.66666666666666</v>
      </c>
      <c r="V30" s="33">
        <v>169.75</v>
      </c>
    </row>
    <row r="31" spans="16:22" x14ac:dyDescent="0.25">
      <c r="P31" s="34" t="s">
        <v>197</v>
      </c>
      <c r="Q31" s="35">
        <v>173.5</v>
      </c>
      <c r="R31" s="35">
        <v>126.75</v>
      </c>
      <c r="S31" s="35">
        <v>122.6</v>
      </c>
      <c r="T31" s="35">
        <v>103.25</v>
      </c>
      <c r="U31" s="35">
        <v>103.33333333333333</v>
      </c>
      <c r="V31" s="36">
        <v>126.85</v>
      </c>
    </row>
  </sheetData>
  <mergeCells count="1">
    <mergeCell ref="P23:V23"/>
  </mergeCells>
  <conditionalFormatting sqref="Q25:U3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5:V3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L2:AL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Metadata/LabelInfo.xml><?xml version="1.0" encoding="utf-8"?>
<clbl:labelList xmlns:clbl="http://schemas.microsoft.com/office/2020/mipLabelMetadata">
  <clbl:label id="{e926a907-a439-4552-97d4-cf3e4f94d4c9}" enabled="1" method="Standard" siteId="{72d4cc57-c098-4169-86a9-284d255e89f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Treść zadania</vt:lpstr>
      <vt:lpstr>Dane do zadania</vt:lpstr>
      <vt:lpstr>Parametry</vt:lpstr>
      <vt:lpstr>Obliczenia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Janik Łukasz  (Departament Contact Center)</dc:creator>
  <cp:keywords/>
  <dc:description/>
  <cp:lastModifiedBy>Przemysław Niewiem</cp:lastModifiedBy>
  <cp:revision/>
  <dcterms:created xsi:type="dcterms:W3CDTF">2026-05-18T20:39:31Z</dcterms:created>
  <dcterms:modified xsi:type="dcterms:W3CDTF">2026-08-23T13:03:04Z</dcterms:modified>
  <cp:category/>
  <cp:contentStatus/>
</cp:coreProperties>
</file>